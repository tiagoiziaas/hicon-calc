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0E98B268-46F1-4F0D-987E-4EFF874F3970}" xr6:coauthVersionLast="47" xr6:coauthVersionMax="47" xr10:uidLastSave="{00000000-0000-0000-0000-000000000000}"/>
  <bookViews>
    <workbookView xWindow="-120" yWindow="-120" windowWidth="38640" windowHeight="15840" tabRatio="865" activeTab="7" xr2:uid="{00000000-000D-0000-FFFF-FFFF00000000}"/>
  </bookViews>
  <sheets>
    <sheet name="DADOS APLICAÇÃO CALCULO" sheetId="104" r:id="rId1"/>
    <sheet name="CALCULO DE DATAS" sheetId="96" r:id="rId2"/>
    <sheet name="TAXA MEDIA " sheetId="97" r:id="rId3"/>
    <sheet name="TODOS 6 CALCULOS" sheetId="81" r:id="rId4"/>
    <sheet name="1.1 QUITACAO PARCIAL TAXA MEDIA" sheetId="93" r:id="rId5"/>
    <sheet name="1.1. INDICE ACIMA TAXA MEDIA" sheetId="91" r:id="rId6"/>
    <sheet name="2.2 QUITAÇÃO PARCIAL TAX IN 28" sheetId="101" r:id="rId7"/>
    <sheet name="2.2 INDICE ACIMA DA TAXA IN 28" sheetId="102" r:id="rId8"/>
    <sheet name="3.3 QUITAÇÃO TAXA CONTRATUAL" sheetId="100" r:id="rId9"/>
    <sheet name="3.3 INDICE ACIMA TAXA CONTRATUA" sheetId="10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  <author>Hicon Calc 2</author>
  </authors>
  <commentList>
    <comment ref="F3" authorId="0" shapeId="0" xr:uid="{8750ABC9-2713-4ECE-B990-42016BD23D09}">
      <text>
        <r>
          <rPr>
            <b/>
            <sz val="9"/>
            <color indexed="81"/>
            <rFont val="Segoe UI"/>
            <family val="2"/>
          </rPr>
          <t>Nome da instituição bancária onde fez o emprestimo- Consta no Hiscon</t>
        </r>
      </text>
    </comment>
    <comment ref="F4" authorId="0" shapeId="0" xr:uid="{5ACAFFC3-4F11-4478-87EB-E3A558B02BEC}">
      <text>
        <r>
          <rPr>
            <b/>
            <sz val="9"/>
            <color indexed="81"/>
            <rFont val="Segoe UI"/>
            <family val="2"/>
          </rPr>
          <t>inserir numero do contrato</t>
        </r>
      </text>
    </comment>
    <comment ref="F5" authorId="0" shapeId="0" xr:uid="{915F905A-3214-4636-A75A-1B3374453B3C}">
      <text>
        <r>
          <rPr>
            <b/>
            <sz val="9"/>
            <color indexed="81"/>
            <rFont val="Segoe UI"/>
            <family val="2"/>
          </rPr>
          <t>Data da contata no contrato. No Hiscon data da Inclusão</t>
        </r>
      </text>
    </comment>
    <comment ref="I5" authorId="0" shapeId="0" xr:uid="{C7589567-1764-48DA-AA3F-F35B13D8EC54}">
      <text>
        <r>
          <rPr>
            <b/>
            <sz val="9"/>
            <color indexed="81"/>
            <rFont val="Segoe UI"/>
            <family val="2"/>
          </rPr>
          <t>Esta data é retira no site do Bacen quando esta venda a taxa media</t>
        </r>
      </text>
    </comment>
    <comment ref="F6" authorId="0" shapeId="0" xr:uid="{042197C0-DBE7-4F50-8801-93772AFD0764}">
      <text>
        <r>
          <rPr>
            <b/>
            <sz val="9"/>
            <color indexed="81"/>
            <rFont val="Segoe UI"/>
            <family val="2"/>
          </rPr>
          <t>Tipo de contratação junto ao banco, presencial ou online</t>
        </r>
      </text>
    </comment>
    <comment ref="F7" authorId="0" shapeId="0" xr:uid="{91927A2F-DEA0-4CB4-8AA2-6A0ED99F3918}">
      <text>
        <r>
          <rPr>
            <b/>
            <sz val="9"/>
            <color indexed="81"/>
            <rFont val="Segoe UI"/>
            <family val="2"/>
          </rPr>
          <t>Tipo de assinatura, presencial, digital ou self</t>
        </r>
      </text>
    </comment>
    <comment ref="F9" authorId="0" shapeId="0" xr:uid="{C5C4BEED-21F2-43CC-8E90-8BF77C10F51F}">
      <text>
        <r>
          <rPr>
            <b/>
            <sz val="9"/>
            <color indexed="81"/>
            <rFont val="Segoe UI"/>
            <family val="2"/>
          </rPr>
          <t>Tipo do emprestimo
Consignado,RMC ou RCC.
Emprestimo pessoal ou financiamento de veículo</t>
        </r>
      </text>
    </comment>
    <comment ref="I10" authorId="0" shapeId="0" xr:uid="{61A24F55-69F4-47C9-B702-5500CFD004B5}">
      <text>
        <r>
          <rPr>
            <b/>
            <sz val="9"/>
            <color indexed="81"/>
            <rFont val="Segoe UI"/>
            <family val="2"/>
          </rPr>
          <t>Inserir a tax adescrita no contrato</t>
        </r>
      </text>
    </comment>
    <comment ref="I18" authorId="1" shapeId="0" xr:uid="{38A85585-5739-4EC4-8B77-B211AFBE8A1D}">
      <text>
        <r>
          <rPr>
            <b/>
            <sz val="9"/>
            <color indexed="81"/>
            <rFont val="Segoe UI"/>
            <family val="2"/>
          </rPr>
          <t>Ver a data no contrao ou Hiscon</t>
        </r>
      </text>
    </comment>
    <comment ref="I21" authorId="0" shapeId="0" xr:uid="{85D24FF6-00F5-4170-A7CA-9EC885E702CA}">
      <text>
        <r>
          <rPr>
            <b/>
            <sz val="9"/>
            <color indexed="81"/>
            <rFont val="Segoe UI"/>
            <family val="2"/>
          </rPr>
          <t>Inserir a taxa cobrada ou patricada</t>
        </r>
      </text>
    </comment>
    <comment ref="I23" authorId="0" shapeId="0" xr:uid="{CFC5FFE5-12E4-46EF-9349-9CA4E21B85BB}">
      <text>
        <r>
          <rPr>
            <b/>
            <sz val="9"/>
            <color indexed="81"/>
            <rFont val="Segoe UI"/>
            <family val="2"/>
          </rPr>
          <t>Valor da parcela contratada</t>
        </r>
      </text>
    </comment>
    <comment ref="I24" authorId="0" shapeId="0" xr:uid="{88B19291-C89A-47A0-A55E-4DC1AB07EC24}">
      <text>
        <r>
          <rPr>
            <b/>
            <sz val="9"/>
            <color indexed="81"/>
            <rFont val="Segoe UI"/>
            <family val="2"/>
          </rPr>
          <t>Inserir o numero de parcela contratadas</t>
        </r>
      </text>
    </comment>
    <comment ref="I36" authorId="0" shapeId="0" xr:uid="{48F5814B-6A34-4ACC-A886-B7F5D211F51B}">
      <text>
        <r>
          <rPr>
            <b/>
            <sz val="9"/>
            <color indexed="81"/>
            <rFont val="Segoe UI"/>
            <family val="2"/>
          </rPr>
          <t>Data da quitação aplicando a taxa contratual</t>
        </r>
      </text>
    </comment>
    <comment ref="I38" authorId="0" shapeId="0" xr:uid="{63D9BCCF-FC80-4962-93B6-33C88F6575DF}">
      <text>
        <r>
          <rPr>
            <b/>
            <sz val="9"/>
            <color indexed="81"/>
            <rFont val="Segoe UI"/>
            <family val="2"/>
          </rPr>
          <t>saldo de parcelas a apagar</t>
        </r>
      </text>
    </comment>
    <comment ref="I51" authorId="0" shapeId="0" xr:uid="{E06F568B-5C8F-437A-8136-D6F84EF9346E}">
      <text>
        <r>
          <rPr>
            <b/>
            <sz val="9"/>
            <color indexed="81"/>
            <rFont val="Segoe UI"/>
            <family val="2"/>
          </rPr>
          <t xml:space="preserve">valor das parcelas pagas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</authors>
  <commentList>
    <comment ref="C4" authorId="0" shapeId="0" xr:uid="{393D28A3-FC39-4F61-8739-2D48458D6402}">
      <text>
        <r>
          <rPr>
            <b/>
            <sz val="9"/>
            <color indexed="81"/>
            <rFont val="Segoe UI"/>
            <family val="2"/>
          </rPr>
          <t>Data do Inicio do Contrato</t>
        </r>
      </text>
    </comment>
    <comment ref="E4" authorId="0" shapeId="0" xr:uid="{F0BEA5B6-631C-4C77-A46C-33C8EE6CB5ED}">
      <text>
        <r>
          <rPr>
            <b/>
            <sz val="9"/>
            <color indexed="81"/>
            <rFont val="Segoe UI"/>
            <family val="2"/>
          </rPr>
          <t>Data final do contrato</t>
        </r>
      </text>
    </comment>
    <comment ref="I4" authorId="0" shapeId="0" xr:uid="{DC816D39-D456-4A57-9835-4B41969A9495}">
      <text>
        <r>
          <rPr>
            <b/>
            <sz val="9"/>
            <color indexed="81"/>
            <rFont val="Segoe UI"/>
            <family val="2"/>
          </rPr>
          <t>Data do Inicio do Contrato</t>
        </r>
      </text>
    </comment>
    <comment ref="K4" authorId="0" shapeId="0" xr:uid="{8B2DF70A-E04E-4C25-86CF-C471D0A5BBF5}">
      <text>
        <r>
          <rPr>
            <b/>
            <sz val="9"/>
            <color indexed="81"/>
            <rFont val="Segoe UI"/>
            <family val="2"/>
          </rPr>
          <t>Data final do contrato</t>
        </r>
      </text>
    </comment>
    <comment ref="D8" authorId="0" shapeId="0" xr:uid="{688F384F-1203-476C-BB08-E9F9660BDDF1}">
      <text>
        <r>
          <rPr>
            <b/>
            <sz val="9"/>
            <color indexed="81"/>
            <rFont val="Segoe UI"/>
            <family val="2"/>
          </rPr>
          <t xml:space="preserve">TOTAL DE MESES DECORRIDOS
</t>
        </r>
      </text>
    </comment>
    <comment ref="J8" authorId="0" shapeId="0" xr:uid="{4525F5F7-4336-43CB-BB44-01DBE415E0BE}">
      <text>
        <r>
          <rPr>
            <b/>
            <sz val="9"/>
            <color indexed="81"/>
            <rFont val="Segoe UI"/>
            <family val="2"/>
          </rPr>
          <t xml:space="preserve">TOTAL DE MESES DECORRIDOS
</t>
        </r>
      </text>
    </comment>
    <comment ref="F9" authorId="0" shapeId="0" xr:uid="{435C251D-B12F-4323-952C-2AD849D3A681}">
      <text>
        <r>
          <rPr>
            <b/>
            <sz val="9"/>
            <color indexed="81"/>
            <rFont val="Segoe UI"/>
            <family val="2"/>
          </rPr>
          <t>Digite o total de parcela</t>
        </r>
      </text>
    </comment>
    <comment ref="C12" authorId="0" shapeId="0" xr:uid="{73C5600C-25CE-4CDC-BCFF-26A8DF6790C3}">
      <text>
        <r>
          <rPr>
            <b/>
            <sz val="9"/>
            <color indexed="81"/>
            <rFont val="Segoe UI"/>
            <family val="2"/>
          </rPr>
          <t>Data da Assintura do contrato</t>
        </r>
      </text>
    </comment>
    <comment ref="E12" authorId="0" shapeId="0" xr:uid="{CFDDB96E-5650-4433-9BC9-DF8E76361BE2}">
      <text>
        <r>
          <rPr>
            <b/>
            <sz val="9"/>
            <color indexed="81"/>
            <rFont val="Segoe UI"/>
            <family val="2"/>
          </rPr>
          <t>Formula Não digital</t>
        </r>
      </text>
    </comment>
    <comment ref="E18" authorId="0" shapeId="0" xr:uid="{7AC2EB84-37D7-4E2E-8819-EC9317E1C75F}">
      <text>
        <r>
          <rPr>
            <b/>
            <sz val="9"/>
            <color indexed="81"/>
            <rFont val="Segoe UI"/>
            <family val="2"/>
          </rPr>
          <t>Anotat a data da exclusao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</authors>
  <commentList>
    <comment ref="B62" authorId="0" shapeId="0" xr:uid="{52403792-315A-4FF2-B3FB-0B554DCA3023}">
      <text>
        <r>
          <rPr>
            <b/>
            <sz val="9"/>
            <color indexed="81"/>
            <rFont val="Segoe UI"/>
            <family val="2"/>
          </rPr>
          <t>Escrita em Branco par anao aparecer no grafico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</authors>
  <commentList>
    <comment ref="B62" authorId="0" shapeId="0" xr:uid="{C749601F-D106-4489-824A-B7CE2D5DEE69}">
      <text>
        <r>
          <rPr>
            <b/>
            <sz val="9"/>
            <color indexed="81"/>
            <rFont val="Segoe UI"/>
            <family val="2"/>
          </rPr>
          <t>Escrita em Branco par anao aparecer no grafico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</authors>
  <commentList>
    <comment ref="B62" authorId="0" shapeId="0" xr:uid="{856668E3-C0D0-4FF5-9605-924B5110BB60}">
      <text>
        <r>
          <rPr>
            <b/>
            <sz val="9"/>
            <color indexed="81"/>
            <rFont val="Segoe UI"/>
            <family val="2"/>
          </rPr>
          <t>Escrita em Branco par anao aparecer no grafico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<sst xmlns="http://schemas.openxmlformats.org/spreadsheetml/2006/main" count="264" uniqueCount="168">
  <si>
    <t>NUMERO DO CONTRATO</t>
  </si>
  <si>
    <t>1ª PARCELA</t>
  </si>
  <si>
    <t>MESES</t>
  </si>
  <si>
    <t xml:space="preserve">PARCELAS:                                   </t>
  </si>
  <si>
    <t>FINANCIAMENTO COM PARCELAS FIXAS</t>
  </si>
  <si>
    <t>Número de meses</t>
  </si>
  <si>
    <t>Taxa de Juros Mensal</t>
  </si>
  <si>
    <t>Valor da Prestação</t>
  </si>
  <si>
    <t>Valor Financiado</t>
  </si>
  <si>
    <t>Taxa de Juros Praticada</t>
  </si>
  <si>
    <t>Taxa Media Melhores Bancos</t>
  </si>
  <si>
    <t>QUITADO NA PARCELA</t>
  </si>
  <si>
    <t>CONTRATO NUMERO:</t>
  </si>
  <si>
    <t>VALOR DA 
PARCELA</t>
  </si>
  <si>
    <t>DIFERENÇA</t>
  </si>
  <si>
    <t>HISTORICO DA TAXA DE JUROS</t>
  </si>
  <si>
    <t>Seguimento:</t>
  </si>
  <si>
    <t>Pessoa Fisica</t>
  </si>
  <si>
    <t>Período:</t>
  </si>
  <si>
    <t>Modalidade:</t>
  </si>
  <si>
    <t>Credito pessoal consignado INSS - Pre-Fixado</t>
  </si>
  <si>
    <t>POSIÇÃO</t>
  </si>
  <si>
    <t>CNPJ</t>
  </si>
  <si>
    <t>INSTITUÇÃO FINANCEIRO</t>
  </si>
  <si>
    <t>% A.M</t>
  </si>
  <si>
    <t>% A.A.</t>
  </si>
  <si>
    <t>Taxa Cobrada pelo Banco</t>
  </si>
  <si>
    <t>INICIO CONTRATO</t>
  </si>
  <si>
    <t>ANO</t>
  </si>
  <si>
    <t xml:space="preserve">MÊS </t>
  </si>
  <si>
    <t>DIA</t>
  </si>
  <si>
    <t>TOTAL MESES</t>
  </si>
  <si>
    <t>AGREGAR DIAS VER DATA FINAL</t>
  </si>
  <si>
    <t>DATA INICIAL</t>
  </si>
  <si>
    <t>DATA FINAL</t>
  </si>
  <si>
    <t>TOTAL DE PARCELAS</t>
  </si>
  <si>
    <r>
      <rPr>
        <b/>
        <sz val="16"/>
        <color rgb="FF0066FF"/>
        <rFont val="Aptos Slab ExtraBold"/>
        <family val="2"/>
      </rPr>
      <t xml:space="preserve">1º </t>
    </r>
    <r>
      <rPr>
        <b/>
        <sz val="10"/>
        <color rgb="FF0066FF"/>
        <rFont val="Aptos Slab ExtraBold"/>
        <family val="2"/>
      </rPr>
      <t xml:space="preserve">
CONTRATO</t>
    </r>
  </si>
  <si>
    <t>FIM CONTRATO</t>
  </si>
  <si>
    <r>
      <rPr>
        <b/>
        <sz val="16"/>
        <color rgb="FF0066FF"/>
        <rFont val="Aptos Slab ExtraBold"/>
        <family val="2"/>
      </rPr>
      <t xml:space="preserve">2º </t>
    </r>
    <r>
      <rPr>
        <b/>
        <sz val="10"/>
        <color rgb="FF0066FF"/>
        <rFont val="Aptos Slab ExtraBold"/>
        <family val="2"/>
      </rPr>
      <t xml:space="preserve">
CONTRATO</t>
    </r>
  </si>
  <si>
    <t>TOTAL PARCELAS
PAGAS</t>
  </si>
  <si>
    <t>CONSIGNADO</t>
  </si>
  <si>
    <t>VAL. PARCELA
CONTRATUAL</t>
  </si>
  <si>
    <t>VALOR PARCELA
TAXA MEDIA</t>
  </si>
  <si>
    <t>TAXA 
CONTRATUAL</t>
  </si>
  <si>
    <t>TAXA MEDIA
MERCADO</t>
  </si>
  <si>
    <t>TAXA JUROS PRATICADAS</t>
  </si>
  <si>
    <t>HISTORICO DO CONTRATO</t>
  </si>
  <si>
    <t>TOTAL PARCELAS
CONTRATADAS</t>
  </si>
  <si>
    <t>VALOR  PELA 
TAXA MEDIA</t>
  </si>
  <si>
    <t>DATA 
ASSIANTURA</t>
  </si>
  <si>
    <t>TOTAL DO INDEBITO</t>
  </si>
  <si>
    <t>TOTAL DO INDEBITO EM DOBRO</t>
  </si>
  <si>
    <t>Taxa de Juros Mensal IN 28 INSS</t>
  </si>
  <si>
    <t>Taxa de Juro de Juros Contrato</t>
  </si>
  <si>
    <t>DATA DA CONTRATAÇÃO</t>
  </si>
  <si>
    <t>TIPO DA CONTRATAÇÃO</t>
  </si>
  <si>
    <t>a</t>
  </si>
  <si>
    <t>DADOS DA CONTRATAÇÃO BANCARIA</t>
  </si>
  <si>
    <t>FORMA DE ASSINATURA</t>
  </si>
  <si>
    <t>FISICA</t>
  </si>
  <si>
    <t>PRESENCIAL</t>
  </si>
  <si>
    <t>TOTAL DE PARCELAS PAGAS</t>
  </si>
  <si>
    <r>
      <rPr>
        <b/>
        <sz val="16"/>
        <color rgb="FF0066FF"/>
        <rFont val="Aptos Slab ExtraBold"/>
        <family val="2"/>
      </rPr>
      <t xml:space="preserve">3º </t>
    </r>
    <r>
      <rPr>
        <b/>
        <sz val="10"/>
        <color rgb="FF0066FF"/>
        <rFont val="Aptos Slab ExtraBold"/>
        <family val="2"/>
      </rPr>
      <t xml:space="preserve">
CONTRATO</t>
    </r>
  </si>
  <si>
    <t>DATA DA EXCLUSÃO</t>
  </si>
  <si>
    <t>CALCULO DE DATA PARA EXCLUSÃO</t>
  </si>
  <si>
    <t xml:space="preserve">                                                                                                      TAXA DE JUROS</t>
  </si>
  <si>
    <t>TIPO DE CONTRATO</t>
  </si>
  <si>
    <t>BANCO INTER</t>
  </si>
  <si>
    <t>BCO DA AMAZONIA S.A.</t>
  </si>
  <si>
    <t>BCO DO ESTADO DO RS S.A.</t>
  </si>
  <si>
    <t>FINANCEIRA ALFA S.A. - SCFI</t>
  </si>
  <si>
    <t>BANCO SICOOB S.A.</t>
  </si>
  <si>
    <t>BCO DAYCOVAL S.A</t>
  </si>
  <si>
    <t>CAIXA ECONOMICA FEDERAL</t>
  </si>
  <si>
    <t>BCO BRADESCO FINANC. S.A.</t>
  </si>
  <si>
    <t>BCO SAFRA S.A.</t>
  </si>
  <si>
    <t>MEUTUDO SCFI</t>
  </si>
  <si>
    <t>BANCO BARI S.A.</t>
  </si>
  <si>
    <t>BCO CETELEM S.A.</t>
  </si>
  <si>
    <t>BCO SANTANDER (BRASIL) S.A.</t>
  </si>
  <si>
    <t>BCO BRADESCO S.A.</t>
  </si>
  <si>
    <t>BCO DO BRASIL S.A.</t>
  </si>
  <si>
    <t>PARANA BCO S.A.</t>
  </si>
  <si>
    <t>ITAÚ UNIBANCO S.A.</t>
  </si>
  <si>
    <t>CREDIARE CFI S.A.</t>
  </si>
  <si>
    <t>MERCANTIL FINANCEIRA</t>
  </si>
  <si>
    <t>BANCO ITAÚ CONSIGNADO S.A.</t>
  </si>
  <si>
    <t>BCO BMG S.A.</t>
  </si>
  <si>
    <t>BANCO PAN</t>
  </si>
  <si>
    <t>BCO AGIBANK S.A.</t>
  </si>
  <si>
    <t>GAZINCRED S.A. SCFI</t>
  </si>
  <si>
    <t>BCO DO NORDESTE DO BRASIL S.A.</t>
  </si>
  <si>
    <t>BCO BANESTES S.A.</t>
  </si>
  <si>
    <t>BCO MERCANTIL DO BRASIL S.A.</t>
  </si>
  <si>
    <t>FACTA S.A. CFI</t>
  </si>
  <si>
    <t>VIA CERTA FINANCIADORA S.A. - CFI</t>
  </si>
  <si>
    <t>Porcentagem Acima da Taxa Média</t>
  </si>
  <si>
    <t>TAXA DO CONTRATO REDUZ O PRAZO</t>
  </si>
  <si>
    <t>TAXA COBRADA DO CLIENTE</t>
  </si>
  <si>
    <t>TAXA DO CONTRATO REDUZ A PARCELA</t>
  </si>
  <si>
    <t>TAXA IN 28 REDUZ O PRAZO</t>
  </si>
  <si>
    <t>TAXA DA IN 28 REDUZ A PARCELA</t>
  </si>
  <si>
    <t>TAXA MEDIA DE MERCADO - REDUZ O PRAZO</t>
  </si>
  <si>
    <t>TAXA MEDIA DE MERCADO - REDUZ O VALOR DA PARCELA</t>
  </si>
  <si>
    <t>V. COBRADO</t>
  </si>
  <si>
    <t/>
  </si>
  <si>
    <t>TX CONTRAT</t>
  </si>
  <si>
    <t>VALOR PAGO INDEVIDAMENTE</t>
  </si>
  <si>
    <t>DADOS  PARA CALCULO COM A IN 28</t>
  </si>
  <si>
    <t>DADOS PARA CALULO COM A TAXA MÉDIA</t>
  </si>
  <si>
    <t>VALOR DA PARCELA MENSAL PELA TAXA MEDIA</t>
  </si>
  <si>
    <t>DIFERENÇA ENTRE A TAXA COBRADA E TAXA MEDIA</t>
  </si>
  <si>
    <t>INDICE ACIMA DA TAXA MEDIA</t>
  </si>
  <si>
    <t>QUITAÇÃO DA DIVIDA PELA TAXA MEDIA NA PARCELA?</t>
  </si>
  <si>
    <t>TOTAL DA DIVIDA PELA TAXA MEDIA</t>
  </si>
  <si>
    <t>VALOR DA TAXA MEDIA BANCO CENTRAL</t>
  </si>
  <si>
    <t>VALOR DA TAXA DA IN  28 A SER APLICADA</t>
  </si>
  <si>
    <t>VALOR DA PARCELA MENSAL PELA TAXA DA IN 28</t>
  </si>
  <si>
    <t>DIFERENÇA ENTRE A TAXA COBRADA E TAXA DA IN 28</t>
  </si>
  <si>
    <t>INDICE ACIMA DA TAXA DA IN 28</t>
  </si>
  <si>
    <t>QUITAÇÃO DA DIVIDA PELA TAXA DA IN 28 NA PARCELA?</t>
  </si>
  <si>
    <t>TOTAL DA DIVIDA PELA TAXA MDA IN 28</t>
  </si>
  <si>
    <t>TOTAL DE PARCELA COBRADA INDEVIDAMENTE</t>
  </si>
  <si>
    <t>Porcentagem Acima da Taa da IN 28</t>
  </si>
  <si>
    <t>BRB - CFI S/A</t>
  </si>
  <si>
    <t>BANCO COOPERATIVO SICREDI</t>
  </si>
  <si>
    <t>BCO DO EST. DE SE S.A.</t>
  </si>
  <si>
    <t>BCO CREFISA S.A.</t>
  </si>
  <si>
    <t>HS FINANCEIRA</t>
  </si>
  <si>
    <t>BCO PAULISTA S.A.</t>
  </si>
  <si>
    <t>BCO C6 CONSIG</t>
  </si>
  <si>
    <t>ZEMA CFI S/A</t>
  </si>
  <si>
    <t>TOTAL DEVIDO PELA TAXA MEDIA</t>
  </si>
  <si>
    <t>TOTAL DA ECONOMIA</t>
  </si>
  <si>
    <t>TOTAL DEVIDO TAXA DO CONTRATO</t>
  </si>
  <si>
    <t>VALOR PARCELA
TAXA CONTRATUAL</t>
  </si>
  <si>
    <t>MÊS ATUAL</t>
  </si>
  <si>
    <t>TOTAL DE PARCELA PAGAS ATE PRESENTE DATA</t>
  </si>
  <si>
    <t>TOTAL DE PARCELA PAGAS ATE FIM DO CONTRATO</t>
  </si>
  <si>
    <t>VALOR PARCELA
TAXA IN 28</t>
  </si>
  <si>
    <t>Taxa Media de Mercado</t>
  </si>
  <si>
    <t>Porcentagem Acima da Taxa Media Mercado</t>
  </si>
  <si>
    <t>Taxa da Instrução Normativa 28 do INSS</t>
  </si>
  <si>
    <t>Taxa Contratual</t>
  </si>
  <si>
    <t>Porcentagem Acima da Taxa Pactuada</t>
  </si>
  <si>
    <t>TIPO</t>
  </si>
  <si>
    <t>VALOR CONTRATADO OU REFINANCIADO</t>
  </si>
  <si>
    <t>TROCO</t>
  </si>
  <si>
    <t>SEGURO PRESTAISTA</t>
  </si>
  <si>
    <t>IOF</t>
  </si>
  <si>
    <t>TAXA ABERTURA</t>
  </si>
  <si>
    <t>TAXA REGISTRO</t>
  </si>
  <si>
    <t>TOTAL CONTRATADO</t>
  </si>
  <si>
    <t>VALOR DA PARCELA A SER  DESCONTADA</t>
  </si>
  <si>
    <t>VALOR DA TAXA DE JUROS PACTUADA</t>
  </si>
  <si>
    <t>DATA DO PAGAMENTO DA PRIMEIRA PARCELA</t>
  </si>
  <si>
    <t>TAXA DE JUROS PRATICADAS OU COBRADA</t>
  </si>
  <si>
    <t>VALOR DA PARCELA PELA TAXA PACTUADA</t>
  </si>
  <si>
    <t>VALOR DA DIFERENÇA ENTRE TAXA CONTRATA E COBRADA</t>
  </si>
  <si>
    <t>VALOR DA DIFERENÇA ENTRE CONTRATA E COBRADA</t>
  </si>
  <si>
    <t>TOTAL DE PARCELA PAGAS ATE A PRESENTE DATA</t>
  </si>
  <si>
    <t>QUITAÇÃO COM APLICAÇÃO DA TAXA CONTRATUAL</t>
  </si>
  <si>
    <t>VALOR PAGO ATÉ A PRESENTE DATA</t>
  </si>
  <si>
    <t>SALDO A PAGAR</t>
  </si>
  <si>
    <t>INDICE ACIMA DA TAXA CONTRATUAL</t>
  </si>
  <si>
    <t>NOME DO CLIENTE</t>
  </si>
  <si>
    <t>NOME DO CLIENTE</t>
  </si>
  <si>
    <t>TAXA MEDIA
DA IN 28 INSS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</si>
</sst>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1" formatCode="_-* #,##0_-;\-* #,##0_-;_-* &quot;-&quot;_-;_-@_-"/>
    <numFmt numFmtId="43" formatCode="_-* #,##0.00_-;\-* #,##0.00_-;_-* &quot;-&quot;??_-;_-@_-"/>
    <numFmt numFmtId="164" formatCode="0.0000%"/>
    <numFmt numFmtId="165" formatCode="#,##0.00_ ;\-#,##0.00\ "/>
    <numFmt numFmtId="166" formatCode="_-[$R$-416]\ * #,##0.00_-;\-[$R$-416]\ * #,##0.00_-;_-[$R$-416]\ * &quot;-&quot;??_-;_-@_-"/>
    <numFmt numFmtId="167" formatCode="#,##0_ ;\-#,##0\ 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A160D"/>
      <name val="Arial"/>
      <family val="2"/>
    </font>
    <font>
      <b/>
      <sz val="11"/>
      <color rgb="FF3A160D"/>
      <name val="Arial"/>
      <family val="2"/>
    </font>
    <font>
      <sz val="11"/>
      <color theme="1"/>
      <name val="Arial"/>
      <family val="2"/>
    </font>
    <font>
      <sz val="12"/>
      <color theme="1"/>
      <name val="Arial Rounded MT Bold"/>
      <family val="2"/>
    </font>
    <font>
      <sz val="11"/>
      <color theme="1"/>
      <name val="Calibri"/>
      <family val="2"/>
    </font>
    <font>
      <b/>
      <sz val="16"/>
      <color rgb="FF3A160D"/>
      <name val="Arial"/>
      <family val="2"/>
    </font>
    <font>
      <b/>
      <i/>
      <sz val="16"/>
      <color rgb="FF3A160D"/>
      <name val="Arial"/>
      <family val="2"/>
    </font>
    <font>
      <b/>
      <sz val="12"/>
      <color rgb="FF0000FF"/>
      <name val="Arial"/>
      <family val="2"/>
    </font>
    <font>
      <b/>
      <sz val="18"/>
      <color rgb="FFFFE7BA"/>
      <name val="Arial Black"/>
      <family val="2"/>
    </font>
    <font>
      <b/>
      <sz val="18"/>
      <color rgb="FF3A160D"/>
      <name val="Arial"/>
      <family val="2"/>
    </font>
    <font>
      <b/>
      <sz val="20"/>
      <color rgb="FF3A160D"/>
      <name val="Arial"/>
      <family val="2"/>
    </font>
    <font>
      <b/>
      <sz val="20"/>
      <color rgb="FFFFE7BA"/>
      <name val="Arial"/>
      <family val="2"/>
    </font>
    <font>
      <b/>
      <sz val="16"/>
      <color rgb="FF0000FF"/>
      <name val="Arial Black"/>
      <family val="2"/>
    </font>
    <font>
      <b/>
      <sz val="15"/>
      <color rgb="FF0000FF"/>
      <name val="Arial Black"/>
      <family val="2"/>
    </font>
    <font>
      <b/>
      <sz val="15"/>
      <color rgb="FF0000FF"/>
      <name val="Arial"/>
      <family val="2"/>
    </font>
    <font>
      <b/>
      <sz val="11"/>
      <color rgb="FF822322"/>
      <name val="Arial"/>
      <family val="2"/>
    </font>
    <font>
      <sz val="11"/>
      <color rgb="FF000000"/>
      <name val="Calibri"/>
      <family val="2"/>
    </font>
    <font>
      <b/>
      <sz val="9"/>
      <color indexed="81"/>
      <name val="Segoe UI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DejaVu Sans"/>
      <family val="2"/>
    </font>
    <font>
      <sz val="12"/>
      <color rgb="FF606060"/>
      <name val="Segoe UI"/>
      <family val="2"/>
    </font>
    <font>
      <sz val="11"/>
      <color theme="1"/>
      <name val="Aptos Black"/>
      <family val="2"/>
    </font>
    <font>
      <sz val="11"/>
      <color theme="0"/>
      <name val="Calibri"/>
      <family val="2"/>
      <scheme val="minor"/>
    </font>
    <font>
      <b/>
      <sz val="10"/>
      <color rgb="FF0066FF"/>
      <name val="Aptos Slab ExtraBold"/>
      <family val="2"/>
    </font>
    <font>
      <b/>
      <sz val="16"/>
      <color rgb="FF0066FF"/>
      <name val="Aptos Slab ExtraBold"/>
      <family val="2"/>
    </font>
    <font>
      <sz val="11"/>
      <color theme="1"/>
      <name val="Aptos Slab ExtraBold"/>
      <family val="2"/>
    </font>
    <font>
      <b/>
      <sz val="9"/>
      <color theme="1"/>
      <name val="Aptos Slab ExtraBold"/>
      <family val="2"/>
    </font>
    <font>
      <b/>
      <sz val="11"/>
      <color theme="1"/>
      <name val="Aptos Slab ExtraBold"/>
      <family val="2"/>
    </font>
    <font>
      <sz val="11"/>
      <color rgb="FF0000FF"/>
      <name val="Aptos Slab ExtraBold"/>
      <family val="2"/>
    </font>
    <font>
      <b/>
      <sz val="10"/>
      <color rgb="FF610F0D"/>
      <name val="Aptos Slab"/>
      <family val="2"/>
    </font>
    <font>
      <b/>
      <sz val="11"/>
      <color rgb="FF610F0D"/>
      <name val="Aptos Slab"/>
      <family val="2"/>
    </font>
    <font>
      <b/>
      <sz val="9"/>
      <color rgb="FF610F0D"/>
      <name val="Aptos Slab"/>
      <family val="2"/>
    </font>
    <font>
      <b/>
      <sz val="8"/>
      <color rgb="FF610F0D"/>
      <name val="Aptos Slab"/>
      <family val="2"/>
    </font>
    <font>
      <b/>
      <sz val="12"/>
      <color rgb="FF610F0D"/>
      <name val="Aptos Slab"/>
      <family val="2"/>
    </font>
    <font>
      <sz val="14"/>
      <color theme="1"/>
      <name val="Arial Rounded MT Bold"/>
      <family val="2"/>
    </font>
    <font>
      <sz val="18"/>
      <color rgb="FF0000FF"/>
      <name val="Aptos Slab ExtraBold"/>
      <family val="2"/>
    </font>
    <font>
      <sz val="14"/>
      <name val="Arial Rounded MT Bold"/>
      <family val="2"/>
    </font>
    <font>
      <b/>
      <sz val="20"/>
      <color rgb="FF0000FF"/>
      <name val="Aptos Black"/>
      <family val="2"/>
    </font>
    <font>
      <b/>
      <sz val="18"/>
      <color rgb="FF0000FF"/>
      <name val="Aptos Black"/>
      <family val="2"/>
    </font>
    <font>
      <sz val="14"/>
      <color theme="1"/>
      <name val="Aptos Black"/>
      <family val="2"/>
    </font>
    <font>
      <sz val="16"/>
      <color rgb="FF000000"/>
      <name val="Aptos ExtraBold"/>
      <family val="2"/>
    </font>
    <font>
      <sz val="11"/>
      <color rgb="FF000000"/>
      <name val="Arial Rounded MT Bold"/>
      <family val="2"/>
    </font>
    <font>
      <sz val="11"/>
      <color rgb="FFFFFFFF"/>
      <name val="Arial Rounded MT Bold"/>
      <family val="2"/>
    </font>
    <font>
      <sz val="11"/>
      <name val="Arial Rounded MT Bold"/>
      <family val="2"/>
    </font>
    <font>
      <sz val="18"/>
      <color rgb="FF822322"/>
      <name val="Aptos Slab Black"/>
      <family val="2"/>
    </font>
    <font>
      <sz val="18"/>
      <color rgb="FF33CC33"/>
      <name val="Aptos Slab Black"/>
      <family val="2"/>
    </font>
    <font>
      <sz val="18"/>
      <color rgb="FF00CCFF"/>
      <name val="Aptos Slab Black"/>
      <family val="2"/>
    </font>
    <font>
      <sz val="14"/>
      <color rgb="FF00CCFF"/>
      <name val="Aptos Slab Black"/>
      <family val="2"/>
    </font>
    <font>
      <sz val="8"/>
      <color theme="1"/>
      <name val="Arial Nova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sz val="18"/>
      <color rgb="FFD2B060"/>
      <name val="Aptos ExtraBold"/>
      <family val="2"/>
    </font>
    <font>
      <b/>
      <sz val="11"/>
      <color theme="8" tint="-0.499984740745262"/>
      <name val="Arial"/>
      <family val="2"/>
    </font>
    <font>
      <b/>
      <sz val="10.5"/>
      <color rgb="FF822322"/>
      <name val="Arial"/>
      <family val="2"/>
    </font>
    <font>
      <b/>
      <sz val="10.3"/>
      <color rgb="FF822322"/>
      <name val="Arial"/>
      <family val="2"/>
    </font>
    <font>
      <b/>
      <sz val="12"/>
      <color rgb="FFF5F5DC"/>
      <name val="Arial"/>
      <family val="2"/>
    </font>
    <font>
      <sz val="11"/>
      <color theme="1"/>
      <name val="Amasis MT Pro Black"/>
      <family val="1"/>
    </font>
  </fonts>
  <fills count="34">
    <fill>
      <patternFill patternType="none"/>
    </fill>
    <fill>
      <patternFill patternType="gray125"/>
    </fill>
    <fill>
      <patternFill patternType="solid">
        <fgColor rgb="FFF5F5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DC"/>
        <bgColor rgb="FF000000"/>
      </patternFill>
    </fill>
    <fill>
      <patternFill patternType="solid">
        <fgColor rgb="FF5B0F14"/>
        <bgColor rgb="FF5B0F14"/>
      </patternFill>
    </fill>
    <fill>
      <patternFill patternType="solid">
        <fgColor rgb="FFF5F5DC"/>
        <bgColor rgb="FF5B0F14"/>
      </patternFill>
    </fill>
    <fill>
      <patternFill patternType="solid">
        <fgColor rgb="FFFFE7BA"/>
        <bgColor rgb="FF5B0F14"/>
      </patternFill>
    </fill>
    <fill>
      <patternFill patternType="solid">
        <fgColor rgb="FF33CCCC"/>
        <bgColor rgb="FF5B0F14"/>
      </patternFill>
    </fill>
    <fill>
      <patternFill patternType="solid">
        <fgColor rgb="FFD2B060"/>
        <bgColor rgb="FF5B0F14"/>
      </patternFill>
    </fill>
    <fill>
      <patternFill patternType="solid">
        <fgColor rgb="FF610F0D"/>
        <bgColor rgb="FF5B0F14"/>
      </patternFill>
    </fill>
    <fill>
      <patternFill patternType="solid">
        <fgColor rgb="FFEEE1B1"/>
        <bgColor rgb="FF5B0F14"/>
      </patternFill>
    </fill>
    <fill>
      <patternFill patternType="solid">
        <fgColor rgb="FFB1984E"/>
        <bgColor rgb="FF5B0F14"/>
      </patternFill>
    </fill>
    <fill>
      <patternFill patternType="solid">
        <fgColor rgb="FFFFE7BA"/>
        <bgColor indexed="64"/>
      </patternFill>
    </fill>
    <fill>
      <patternFill patternType="solid">
        <fgColor rgb="FF822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rgb="FF5B0F14"/>
      </patternFill>
    </fill>
    <fill>
      <patternFill patternType="solid">
        <fgColor rgb="FF99FF99"/>
        <bgColor indexed="64"/>
      </patternFill>
    </fill>
    <fill>
      <patternFill patternType="solid">
        <fgColor rgb="FF822322"/>
        <bgColor rgb="FF000000"/>
      </patternFill>
    </fill>
    <fill>
      <patternFill patternType="solid">
        <fgColor rgb="FFF7EFD5"/>
        <bgColor indexed="64"/>
      </patternFill>
    </fill>
    <fill>
      <patternFill patternType="solid">
        <fgColor rgb="FFDFD3D0"/>
        <bgColor indexed="64"/>
      </patternFill>
    </fill>
    <fill>
      <patternFill patternType="solid">
        <fgColor rgb="FF7C4C45"/>
        <bgColor indexed="64"/>
      </patternFill>
    </fill>
    <fill>
      <patternFill patternType="solid">
        <fgColor rgb="FF9B7B3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28">
    <border>
      <left/>
      <right/>
      <top/>
      <bottom/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/>
      <top style="thick">
        <color theme="8" tint="-0.499984740745262"/>
      </top>
      <bottom style="thick">
        <color theme="8" tint="-0.499984740745262"/>
      </bottom>
      <diagonal/>
    </border>
    <border>
      <left/>
      <right/>
      <top style="thick">
        <color theme="8" tint="-0.499984740745262"/>
      </top>
      <bottom style="thick">
        <color theme="8" tint="-0.499984740745262"/>
      </bottom>
      <diagonal/>
    </border>
    <border>
      <left/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 style="thick">
        <color theme="8" tint="-0.499984740745262"/>
      </right>
      <top/>
      <bottom style="thick">
        <color theme="8" tint="-0.499984740745262"/>
      </bottom>
      <diagonal/>
    </border>
    <border>
      <left style="thick">
        <color theme="8" tint="-0.499984740745262"/>
      </left>
      <right/>
      <top style="thick">
        <color theme="8" tint="-0.499984740745262"/>
      </top>
      <bottom/>
      <diagonal/>
    </border>
    <border>
      <left/>
      <right/>
      <top style="thick">
        <color theme="8" tint="-0.499984740745262"/>
      </top>
      <bottom/>
      <diagonal/>
    </border>
    <border>
      <left/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 style="thick">
        <color theme="8" tint="-0.499984740745262"/>
      </left>
      <right/>
      <top/>
      <bottom/>
      <diagonal/>
    </border>
    <border>
      <left style="double">
        <color rgb="FF864B04"/>
      </left>
      <right style="double">
        <color rgb="FF864B04"/>
      </right>
      <top style="double">
        <color rgb="FF864B04"/>
      </top>
      <bottom style="double">
        <color rgb="FF864B04"/>
      </bottom>
      <diagonal/>
    </border>
    <border>
      <left style="double">
        <color rgb="FF864B04"/>
      </left>
      <right/>
      <top style="double">
        <color rgb="FF864B04"/>
      </top>
      <bottom style="double">
        <color rgb="FF864B04"/>
      </bottom>
      <diagonal/>
    </border>
    <border>
      <left/>
      <right style="double">
        <color rgb="FF864B04"/>
      </right>
      <top style="double">
        <color rgb="FF864B04"/>
      </top>
      <bottom style="double">
        <color rgb="FF864B04"/>
      </bottom>
      <diagonal/>
    </border>
    <border>
      <left/>
      <right style="thick">
        <color theme="8" tint="-0.499984740745262"/>
      </right>
      <top/>
      <bottom style="thick">
        <color theme="8" tint="-0.499984740745262"/>
      </bottom>
      <diagonal/>
    </border>
    <border>
      <left style="thick">
        <color rgb="FF76370A"/>
      </left>
      <right style="thick">
        <color rgb="FF76370A"/>
      </right>
      <top style="thick">
        <color rgb="FF76370A"/>
      </top>
      <bottom style="thick">
        <color rgb="FF76370A"/>
      </bottom>
      <diagonal/>
    </border>
    <border>
      <left/>
      <right style="thick">
        <color rgb="FF76230E"/>
      </right>
      <top/>
      <bottom/>
      <diagonal/>
    </border>
    <border>
      <left/>
      <right style="thick">
        <color rgb="FF76230E"/>
      </right>
      <top style="thick">
        <color rgb="FF76370A"/>
      </top>
      <bottom/>
      <diagonal/>
    </border>
    <border>
      <left style="thick">
        <color rgb="FF76230E"/>
      </left>
      <right/>
      <top/>
      <bottom style="thick">
        <color rgb="FF76230E"/>
      </bottom>
      <diagonal/>
    </border>
    <border>
      <left/>
      <right/>
      <top/>
      <bottom style="thick">
        <color rgb="FF76230E"/>
      </bottom>
      <diagonal/>
    </border>
    <border>
      <left/>
      <right style="thick">
        <color rgb="FF76230E"/>
      </right>
      <top/>
      <bottom style="thick">
        <color rgb="FF76230E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rgb="FF76230E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76230E"/>
      </top>
      <bottom style="thick">
        <color theme="8" tint="-0.499984740745262"/>
      </bottom>
      <diagonal/>
    </border>
    <border>
      <left/>
      <right/>
      <top style="thick">
        <color rgb="FF76230E"/>
      </top>
      <bottom style="thick">
        <color theme="8" tint="-0.499984740745262"/>
      </bottom>
      <diagonal/>
    </border>
    <border>
      <left/>
      <right/>
      <top style="thick">
        <color rgb="FF76230E"/>
      </top>
      <bottom/>
      <diagonal/>
    </border>
    <border>
      <left style="thick">
        <color theme="7" tint="-0.499984740745262"/>
      </left>
      <right/>
      <top style="thick">
        <color theme="8" tint="-0.499984740745262"/>
      </top>
      <bottom style="thick">
        <color theme="8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8">
    <xf numFmtId="0" fontId="0" fillId="0" borderId="0" xfId="0"/>
    <xf numFmtId="0" fontId="4" fillId="0" borderId="0" xfId="0" applyFont="1"/>
    <xf numFmtId="0" fontId="6" fillId="0" borderId="0" xfId="0" applyFont="1"/>
    <xf numFmtId="0" fontId="22" fillId="0" borderId="0" xfId="0" applyFont="1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28" fillId="0" borderId="0" xfId="0" applyFont="1"/>
    <xf numFmtId="0" fontId="28" fillId="16" borderId="5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49" fontId="25" fillId="0" borderId="0" xfId="0" applyNumberFormat="1" applyFont="1"/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18" fillId="0" borderId="0" xfId="0" applyFont="1"/>
    <xf numFmtId="1" fontId="7" fillId="6" borderId="11" xfId="0" applyNumberFormat="1" applyFont="1" applyFill="1" applyBorder="1" applyAlignment="1">
      <alignment horizontal="right" vertical="center"/>
    </xf>
    <xf numFmtId="164" fontId="7" fillId="8" borderId="11" xfId="0" applyNumberFormat="1" applyFont="1" applyFill="1" applyBorder="1" applyAlignment="1">
      <alignment horizontal="right" vertical="center"/>
    </xf>
    <xf numFmtId="2" fontId="7" fillId="12" borderId="11" xfId="0" applyNumberFormat="1" applyFont="1" applyFill="1" applyBorder="1" applyAlignment="1">
      <alignment horizontal="right" vertical="center"/>
    </xf>
    <xf numFmtId="43" fontId="7" fillId="6" borderId="11" xfId="1" applyFont="1" applyFill="1" applyBorder="1" applyAlignment="1">
      <alignment horizontal="right" vertical="center"/>
    </xf>
    <xf numFmtId="1" fontId="8" fillId="6" borderId="11" xfId="0" applyNumberFormat="1" applyFont="1" applyFill="1" applyBorder="1" applyAlignment="1">
      <alignment horizontal="right" vertical="center"/>
    </xf>
    <xf numFmtId="10" fontId="7" fillId="7" borderId="11" xfId="0" applyNumberFormat="1" applyFont="1" applyFill="1" applyBorder="1" applyAlignment="1">
      <alignment horizontal="right" vertical="center"/>
    </xf>
    <xf numFmtId="2" fontId="7" fillId="8" borderId="11" xfId="0" applyNumberFormat="1" applyFont="1" applyFill="1" applyBorder="1" applyAlignment="1">
      <alignment horizontal="right" vertical="center"/>
    </xf>
    <xf numFmtId="43" fontId="7" fillId="6" borderId="11" xfId="1" applyFont="1" applyFill="1" applyBorder="1" applyAlignment="1">
      <alignment vertical="center"/>
    </xf>
    <xf numFmtId="2" fontId="8" fillId="8" borderId="11" xfId="0" applyNumberFormat="1" applyFont="1" applyFill="1" applyBorder="1" applyAlignment="1">
      <alignment horizontal="right" vertical="center"/>
    </xf>
    <xf numFmtId="2" fontId="7" fillId="9" borderId="11" xfId="0" applyNumberFormat="1" applyFont="1" applyFill="1" applyBorder="1" applyAlignment="1">
      <alignment horizontal="right" vertical="center"/>
    </xf>
    <xf numFmtId="8" fontId="7" fillId="8" borderId="11" xfId="0" applyNumberFormat="1" applyFont="1" applyFill="1" applyBorder="1" applyAlignment="1">
      <alignment horizontal="right" vertical="center"/>
    </xf>
    <xf numFmtId="0" fontId="31" fillId="17" borderId="1" xfId="0" applyFont="1" applyFill="1" applyBorder="1" applyAlignment="1">
      <alignment horizontal="center"/>
    </xf>
    <xf numFmtId="14" fontId="39" fillId="2" borderId="1" xfId="1" applyNumberFormat="1" applyFont="1" applyFill="1" applyBorder="1" applyAlignment="1" applyProtection="1">
      <alignment horizontal="center"/>
      <protection locked="0"/>
    </xf>
    <xf numFmtId="0" fontId="20" fillId="2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left" vertical="center" wrapText="1"/>
    </xf>
    <xf numFmtId="0" fontId="23" fillId="18" borderId="1" xfId="0" applyFont="1" applyFill="1" applyBorder="1" applyAlignment="1">
      <alignment horizontal="right" vertical="center" wrapText="1"/>
    </xf>
    <xf numFmtId="0" fontId="0" fillId="2" borderId="1" xfId="0" applyFill="1" applyBorder="1"/>
    <xf numFmtId="0" fontId="21" fillId="2" borderId="1" xfId="0" applyFont="1" applyFill="1" applyBorder="1"/>
    <xf numFmtId="1" fontId="37" fillId="2" borderId="1" xfId="1" applyNumberFormat="1" applyFont="1" applyFill="1" applyBorder="1" applyAlignment="1" applyProtection="1">
      <alignment horizontal="center" vertical="center"/>
      <protection locked="0"/>
    </xf>
    <xf numFmtId="14" fontId="39" fillId="2" borderId="3" xfId="1" applyNumberFormat="1" applyFont="1" applyFill="1" applyBorder="1" applyAlignment="1" applyProtection="1">
      <alignment horizontal="left"/>
      <protection locked="0"/>
    </xf>
    <xf numFmtId="165" fontId="5" fillId="3" borderId="0" xfId="1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/>
    </xf>
    <xf numFmtId="0" fontId="43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1" fontId="7" fillId="7" borderId="11" xfId="0" applyNumberFormat="1" applyFont="1" applyFill="1" applyBorder="1" applyAlignment="1">
      <alignment horizontal="right" vertical="center"/>
    </xf>
    <xf numFmtId="0" fontId="44" fillId="0" borderId="15" xfId="0" applyFont="1" applyBorder="1"/>
    <xf numFmtId="0" fontId="45" fillId="0" borderId="15" xfId="0" applyFont="1" applyBorder="1"/>
    <xf numFmtId="10" fontId="44" fillId="0" borderId="15" xfId="0" applyNumberFormat="1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0" fillId="0" borderId="7" xfId="0" applyBorder="1"/>
    <xf numFmtId="0" fontId="6" fillId="0" borderId="10" xfId="0" applyFont="1" applyBorder="1"/>
    <xf numFmtId="10" fontId="46" fillId="0" borderId="15" xfId="0" applyNumberFormat="1" applyFont="1" applyBorder="1"/>
    <xf numFmtId="0" fontId="15" fillId="24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" borderId="0" xfId="0" applyFill="1"/>
    <xf numFmtId="0" fontId="16" fillId="2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0" fillId="0" borderId="0" xfId="0" applyNumberFormat="1"/>
    <xf numFmtId="0" fontId="51" fillId="0" borderId="0" xfId="0" applyFont="1" applyAlignment="1">
      <alignment horizontal="center" vertical="center"/>
    </xf>
    <xf numFmtId="2" fontId="52" fillId="0" borderId="0" xfId="0" applyNumberFormat="1" applyFont="1" applyAlignment="1">
      <alignment vertical="center"/>
    </xf>
    <xf numFmtId="0" fontId="52" fillId="0" borderId="0" xfId="0" applyFont="1" applyAlignment="1">
      <alignment horizontal="center" vertical="center"/>
    </xf>
    <xf numFmtId="0" fontId="0" fillId="0" borderId="0" xfId="0" quotePrefix="1"/>
    <xf numFmtId="2" fontId="51" fillId="0" borderId="0" xfId="0" applyNumberFormat="1" applyFont="1" applyAlignment="1">
      <alignment horizontal="right" vertical="center"/>
    </xf>
    <xf numFmtId="2" fontId="51" fillId="0" borderId="0" xfId="0" applyNumberFormat="1" applyFont="1"/>
    <xf numFmtId="165" fontId="5" fillId="3" borderId="1" xfId="1" applyNumberFormat="1" applyFont="1" applyFill="1" applyBorder="1" applyAlignment="1" applyProtection="1">
      <alignment horizontal="center" vertical="center"/>
      <protection locked="0"/>
    </xf>
    <xf numFmtId="167" fontId="5" fillId="3" borderId="1" xfId="1" applyNumberFormat="1" applyFont="1" applyFill="1" applyBorder="1" applyAlignment="1" applyProtection="1">
      <alignment horizontal="center" vertical="center"/>
      <protection locked="0"/>
    </xf>
    <xf numFmtId="167" fontId="5" fillId="25" borderId="1" xfId="1" applyNumberFormat="1" applyFont="1" applyFill="1" applyBorder="1" applyAlignment="1" applyProtection="1">
      <alignment horizontal="center" vertical="center"/>
      <protection locked="0"/>
    </xf>
    <xf numFmtId="0" fontId="53" fillId="0" borderId="0" xfId="0" applyFont="1"/>
    <xf numFmtId="0" fontId="0" fillId="15" borderId="1" xfId="0" applyFill="1" applyBorder="1" applyAlignment="1">
      <alignment horizontal="center" vertical="center" wrapText="1"/>
    </xf>
    <xf numFmtId="10" fontId="21" fillId="2" borderId="1" xfId="0" applyNumberFormat="1" applyFont="1" applyFill="1" applyBorder="1"/>
    <xf numFmtId="10" fontId="5" fillId="25" borderId="1" xfId="1" applyNumberFormat="1" applyFont="1" applyFill="1" applyBorder="1" applyAlignment="1" applyProtection="1">
      <alignment horizontal="center" vertical="center"/>
      <protection locked="0"/>
    </xf>
    <xf numFmtId="165" fontId="5" fillId="25" borderId="1" xfId="1" applyNumberFormat="1" applyFont="1" applyFill="1" applyBorder="1" applyAlignment="1" applyProtection="1">
      <alignment horizontal="center" vertical="center"/>
      <protection locked="0"/>
    </xf>
    <xf numFmtId="10" fontId="5" fillId="3" borderId="1" xfId="1" applyNumberFormat="1" applyFont="1" applyFill="1" applyBorder="1" applyAlignment="1" applyProtection="1">
      <alignment horizontal="center" vertical="center"/>
      <protection locked="0"/>
    </xf>
    <xf numFmtId="14" fontId="54" fillId="14" borderId="1" xfId="0" applyNumberFormat="1" applyFont="1" applyFill="1" applyBorder="1"/>
    <xf numFmtId="0" fontId="54" fillId="14" borderId="1" xfId="0" applyFont="1" applyFill="1" applyBorder="1" applyAlignment="1">
      <alignment horizontal="center" vertical="center"/>
    </xf>
    <xf numFmtId="14" fontId="54" fillId="14" borderId="1" xfId="0" applyNumberFormat="1" applyFont="1" applyFill="1" applyBorder="1" applyAlignment="1">
      <alignment horizontal="left"/>
    </xf>
    <xf numFmtId="0" fontId="34" fillId="4" borderId="1" xfId="0" applyFont="1" applyFill="1" applyBorder="1" applyAlignment="1">
      <alignment horizontal="center" vertical="center" wrapText="1"/>
    </xf>
    <xf numFmtId="14" fontId="36" fillId="4" borderId="1" xfId="0" applyNumberFormat="1" applyFont="1" applyFill="1" applyBorder="1" applyAlignment="1">
      <alignment horizontal="center" vertical="center"/>
    </xf>
    <xf numFmtId="10" fontId="36" fillId="4" borderId="1" xfId="0" applyNumberFormat="1" applyFont="1" applyFill="1" applyBorder="1" applyAlignment="1">
      <alignment horizontal="center" vertical="center"/>
    </xf>
    <xf numFmtId="1" fontId="36" fillId="4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 wrapText="1"/>
    </xf>
    <xf numFmtId="2" fontId="36" fillId="4" borderId="1" xfId="0" applyNumberFormat="1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/>
    <xf numFmtId="166" fontId="2" fillId="3" borderId="1" xfId="0" applyNumberFormat="1" applyFont="1" applyFill="1" applyBorder="1"/>
    <xf numFmtId="166" fontId="57" fillId="27" borderId="1" xfId="0" applyNumberFormat="1" applyFont="1" applyFill="1" applyBorder="1"/>
    <xf numFmtId="166" fontId="57" fillId="28" borderId="1" xfId="0" applyNumberFormat="1" applyFont="1" applyFill="1" applyBorder="1"/>
    <xf numFmtId="166" fontId="3" fillId="29" borderId="1" xfId="0" applyNumberFormat="1" applyFont="1" applyFill="1" applyBorder="1"/>
    <xf numFmtId="166" fontId="60" fillId="30" borderId="1" xfId="0" applyNumberFormat="1" applyFont="1" applyFill="1" applyBorder="1"/>
    <xf numFmtId="166" fontId="0" fillId="29" borderId="1" xfId="0" applyNumberFormat="1" applyFill="1" applyBorder="1"/>
    <xf numFmtId="166" fontId="2" fillId="29" borderId="1" xfId="0" applyNumberFormat="1" applyFont="1" applyFill="1" applyBorder="1"/>
    <xf numFmtId="0" fontId="0" fillId="29" borderId="1" xfId="0" applyFill="1" applyBorder="1"/>
    <xf numFmtId="14" fontId="37" fillId="2" borderId="1" xfId="1" applyNumberFormat="1" applyFont="1" applyFill="1" applyBorder="1" applyAlignment="1" applyProtection="1">
      <alignment horizontal="center" vertical="center"/>
      <protection locked="0"/>
    </xf>
    <xf numFmtId="43" fontId="37" fillId="2" borderId="1" xfId="1" applyFont="1" applyFill="1" applyBorder="1" applyAlignment="1" applyProtection="1">
      <alignment horizontal="right" vertical="center"/>
      <protection locked="0"/>
    </xf>
    <xf numFmtId="43" fontId="37" fillId="31" borderId="1" xfId="1" applyFont="1" applyFill="1" applyBorder="1" applyAlignment="1" applyProtection="1">
      <alignment horizontal="center" vertical="center"/>
      <protection locked="0"/>
    </xf>
    <xf numFmtId="41" fontId="37" fillId="2" borderId="1" xfId="1" applyNumberFormat="1" applyFont="1" applyFill="1" applyBorder="1" applyAlignment="1" applyProtection="1">
      <protection locked="0"/>
    </xf>
    <xf numFmtId="43" fontId="37" fillId="2" borderId="1" xfId="1" applyFont="1" applyFill="1" applyBorder="1" applyAlignment="1" applyProtection="1">
      <protection locked="0"/>
    </xf>
    <xf numFmtId="10" fontId="37" fillId="2" borderId="1" xfId="1" applyNumberFormat="1" applyFont="1" applyFill="1" applyBorder="1" applyAlignment="1" applyProtection="1">
      <protection locked="0"/>
    </xf>
    <xf numFmtId="14" fontId="37" fillId="32" borderId="2" xfId="1" applyNumberFormat="1" applyFont="1" applyFill="1" applyBorder="1" applyAlignment="1" applyProtection="1">
      <protection locked="0"/>
    </xf>
    <xf numFmtId="10" fontId="37" fillId="2" borderId="2" xfId="1" applyNumberFormat="1" applyFont="1" applyFill="1" applyBorder="1" applyAlignment="1" applyProtection="1">
      <protection locked="0"/>
    </xf>
    <xf numFmtId="43" fontId="37" fillId="2" borderId="2" xfId="1" applyFont="1" applyFill="1" applyBorder="1" applyAlignment="1" applyProtection="1">
      <protection locked="0"/>
    </xf>
    <xf numFmtId="43" fontId="37" fillId="2" borderId="2" xfId="1" applyFont="1" applyFill="1" applyBorder="1" applyAlignment="1" applyProtection="1">
      <alignment horizontal="center" vertical="center"/>
      <protection locked="0"/>
    </xf>
    <xf numFmtId="2" fontId="37" fillId="2" borderId="2" xfId="1" applyNumberFormat="1" applyFont="1" applyFill="1" applyBorder="1" applyAlignment="1" applyProtection="1">
      <alignment horizontal="center" vertical="center"/>
      <protection locked="0"/>
    </xf>
    <xf numFmtId="10" fontId="37" fillId="2" borderId="2" xfId="1" applyNumberFormat="1" applyFont="1" applyFill="1" applyBorder="1" applyAlignment="1" applyProtection="1">
      <alignment horizontal="center" vertical="center"/>
      <protection locked="0"/>
    </xf>
    <xf numFmtId="0" fontId="5" fillId="23" borderId="2" xfId="0" applyFont="1" applyFill="1" applyBorder="1" applyProtection="1">
      <protection locked="0"/>
    </xf>
    <xf numFmtId="0" fontId="5" fillId="23" borderId="3" xfId="0" applyFont="1" applyFill="1" applyBorder="1" applyProtection="1">
      <protection locked="0"/>
    </xf>
    <xf numFmtId="0" fontId="5" fillId="23" borderId="4" xfId="0" applyFont="1" applyFill="1" applyBorder="1" applyProtection="1">
      <protection locked="0"/>
    </xf>
    <xf numFmtId="0" fontId="37" fillId="2" borderId="1" xfId="0" applyFont="1" applyFill="1" applyBorder="1" applyAlignment="1" applyProtection="1">
      <alignment horizontal="left"/>
      <protection locked="0"/>
    </xf>
    <xf numFmtId="1" fontId="39" fillId="2" borderId="2" xfId="1" applyNumberFormat="1" applyFont="1" applyFill="1" applyBorder="1" applyAlignment="1" applyProtection="1">
      <alignment horizontal="left"/>
      <protection locked="0"/>
    </xf>
    <xf numFmtId="1" fontId="39" fillId="2" borderId="3" xfId="1" applyNumberFormat="1" applyFont="1" applyFill="1" applyBorder="1" applyAlignment="1" applyProtection="1">
      <alignment horizontal="left"/>
      <protection locked="0"/>
    </xf>
    <xf numFmtId="0" fontId="5" fillId="23" borderId="2" xfId="0" applyFont="1" applyFill="1" applyBorder="1" applyAlignment="1" applyProtection="1">
      <alignment horizontal="left"/>
      <protection locked="0"/>
    </xf>
    <xf numFmtId="0" fontId="5" fillId="23" borderId="3" xfId="0" applyFont="1" applyFill="1" applyBorder="1" applyAlignment="1" applyProtection="1">
      <alignment horizontal="left"/>
      <protection locked="0"/>
    </xf>
    <xf numFmtId="0" fontId="5" fillId="23" borderId="4" xfId="0" applyFont="1" applyFill="1" applyBorder="1" applyAlignment="1" applyProtection="1">
      <alignment horizontal="left"/>
      <protection locked="0"/>
    </xf>
    <xf numFmtId="0" fontId="5" fillId="25" borderId="2" xfId="0" applyFont="1" applyFill="1" applyBorder="1" applyProtection="1">
      <protection locked="0"/>
    </xf>
    <xf numFmtId="0" fontId="5" fillId="25" borderId="3" xfId="0" applyFont="1" applyFill="1" applyBorder="1" applyProtection="1">
      <protection locked="0"/>
    </xf>
    <xf numFmtId="0" fontId="5" fillId="25" borderId="4" xfId="0" applyFont="1" applyFill="1" applyBorder="1" applyProtection="1">
      <protection locked="0"/>
    </xf>
    <xf numFmtId="0" fontId="5" fillId="25" borderId="27" xfId="0" applyFont="1" applyFill="1" applyBorder="1" applyAlignment="1" applyProtection="1">
      <alignment horizontal="left"/>
      <protection locked="0"/>
    </xf>
    <xf numFmtId="0" fontId="5" fillId="25" borderId="3" xfId="0" applyFont="1" applyFill="1" applyBorder="1" applyAlignment="1" applyProtection="1">
      <alignment horizontal="left"/>
      <protection locked="0"/>
    </xf>
    <xf numFmtId="0" fontId="5" fillId="25" borderId="4" xfId="0" applyFont="1" applyFill="1" applyBorder="1" applyAlignment="1" applyProtection="1">
      <alignment horizontal="left"/>
      <protection locked="0"/>
    </xf>
    <xf numFmtId="0" fontId="5" fillId="25" borderId="2" xfId="0" applyFont="1" applyFill="1" applyBorder="1" applyAlignment="1" applyProtection="1">
      <alignment horizontal="left"/>
      <protection locked="0"/>
    </xf>
    <xf numFmtId="49" fontId="41" fillId="23" borderId="5" xfId="0" applyNumberFormat="1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 applyProtection="1">
      <alignment horizontal="left"/>
      <protection locked="0"/>
    </xf>
    <xf numFmtId="49" fontId="41" fillId="25" borderId="5" xfId="0" applyNumberFormat="1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Protection="1">
      <protection locked="0"/>
    </xf>
    <xf numFmtId="0" fontId="5" fillId="2" borderId="3" xfId="0" applyFont="1" applyFill="1" applyBorder="1" applyProtection="1">
      <protection locked="0"/>
    </xf>
    <xf numFmtId="0" fontId="5" fillId="2" borderId="4" xfId="0" applyFont="1" applyFill="1" applyBorder="1" applyProtection="1">
      <protection locked="0"/>
    </xf>
    <xf numFmtId="0" fontId="5" fillId="32" borderId="2" xfId="0" applyFont="1" applyFill="1" applyBorder="1" applyAlignment="1" applyProtection="1">
      <alignment horizontal="left"/>
      <protection locked="0"/>
    </xf>
    <xf numFmtId="0" fontId="5" fillId="32" borderId="3" xfId="0" applyFont="1" applyFill="1" applyBorder="1" applyAlignment="1" applyProtection="1">
      <alignment horizontal="left"/>
      <protection locked="0"/>
    </xf>
    <xf numFmtId="0" fontId="5" fillId="32" borderId="4" xfId="0" applyFont="1" applyFill="1" applyBorder="1" applyAlignment="1" applyProtection="1">
      <alignment horizontal="left"/>
      <protection locked="0"/>
    </xf>
    <xf numFmtId="0" fontId="5" fillId="31" borderId="2" xfId="0" applyFont="1" applyFill="1" applyBorder="1" applyAlignment="1" applyProtection="1">
      <alignment horizontal="right"/>
      <protection locked="0"/>
    </xf>
    <xf numFmtId="0" fontId="5" fillId="31" borderId="3" xfId="0" applyFont="1" applyFill="1" applyBorder="1" applyAlignment="1" applyProtection="1">
      <alignment horizontal="right"/>
      <protection locked="0"/>
    </xf>
    <xf numFmtId="0" fontId="5" fillId="31" borderId="4" xfId="0" applyFont="1" applyFill="1" applyBorder="1" applyAlignment="1" applyProtection="1">
      <alignment horizontal="right"/>
      <protection locked="0"/>
    </xf>
    <xf numFmtId="0" fontId="37" fillId="20" borderId="2" xfId="0" applyFont="1" applyFill="1" applyBorder="1" applyAlignment="1" applyProtection="1">
      <alignment horizontal="left"/>
      <protection locked="0"/>
    </xf>
    <xf numFmtId="0" fontId="37" fillId="20" borderId="3" xfId="0" applyFont="1" applyFill="1" applyBorder="1" applyAlignment="1" applyProtection="1">
      <alignment horizontal="left"/>
      <protection locked="0"/>
    </xf>
    <xf numFmtId="0" fontId="37" fillId="20" borderId="4" xfId="0" applyFont="1" applyFill="1" applyBorder="1" applyAlignment="1" applyProtection="1">
      <alignment horizontal="left"/>
      <protection locked="0"/>
    </xf>
    <xf numFmtId="165" fontId="38" fillId="2" borderId="2" xfId="1" applyNumberFormat="1" applyFont="1" applyFill="1" applyBorder="1" applyAlignment="1" applyProtection="1">
      <alignment horizontal="left"/>
      <protection locked="0"/>
    </xf>
    <xf numFmtId="165" fontId="38" fillId="2" borderId="3" xfId="1" applyNumberFormat="1" applyFont="1" applyFill="1" applyBorder="1" applyAlignment="1" applyProtection="1">
      <alignment horizontal="left"/>
      <protection locked="0"/>
    </xf>
    <xf numFmtId="0" fontId="37" fillId="2" borderId="2" xfId="0" applyFont="1" applyFill="1" applyBorder="1" applyAlignment="1" applyProtection="1">
      <alignment horizontal="left"/>
      <protection locked="0"/>
    </xf>
    <xf numFmtId="0" fontId="37" fillId="2" borderId="3" xfId="0" applyFont="1" applyFill="1" applyBorder="1" applyAlignment="1" applyProtection="1">
      <alignment horizontal="left"/>
      <protection locked="0"/>
    </xf>
    <xf numFmtId="0" fontId="37" fillId="2" borderId="4" xfId="0" applyFont="1" applyFill="1" applyBorder="1" applyAlignment="1" applyProtection="1">
      <alignment horizontal="left"/>
      <protection locked="0"/>
    </xf>
    <xf numFmtId="165" fontId="39" fillId="2" borderId="2" xfId="1" applyNumberFormat="1" applyFont="1" applyFill="1" applyBorder="1" applyAlignment="1" applyProtection="1">
      <alignment horizontal="left"/>
      <protection locked="0"/>
    </xf>
    <xf numFmtId="165" fontId="39" fillId="2" borderId="3" xfId="1" applyNumberFormat="1" applyFont="1" applyFill="1" applyBorder="1" applyAlignment="1" applyProtection="1">
      <alignment horizontal="left"/>
      <protection locked="0"/>
    </xf>
    <xf numFmtId="0" fontId="0" fillId="13" borderId="2" xfId="0" applyFill="1" applyBorder="1" applyAlignment="1" applyProtection="1">
      <alignment horizontal="center"/>
      <protection locked="0"/>
    </xf>
    <xf numFmtId="0" fontId="0" fillId="13" borderId="3" xfId="0" applyFill="1" applyBorder="1" applyAlignment="1" applyProtection="1">
      <alignment horizontal="center"/>
      <protection locked="0"/>
    </xf>
    <xf numFmtId="0" fontId="0" fillId="13" borderId="4" xfId="0" applyFill="1" applyBorder="1" applyAlignment="1" applyProtection="1">
      <alignment horizontal="center"/>
      <protection locked="0"/>
    </xf>
    <xf numFmtId="0" fontId="40" fillId="19" borderId="2" xfId="0" applyFont="1" applyFill="1" applyBorder="1" applyAlignment="1" applyProtection="1">
      <alignment horizontal="center"/>
      <protection locked="0"/>
    </xf>
    <xf numFmtId="0" fontId="40" fillId="19" borderId="3" xfId="0" applyFont="1" applyFill="1" applyBorder="1" applyAlignment="1" applyProtection="1">
      <alignment horizontal="center"/>
      <protection locked="0"/>
    </xf>
    <xf numFmtId="14" fontId="39" fillId="2" borderId="2" xfId="1" applyNumberFormat="1" applyFont="1" applyFill="1" applyBorder="1" applyAlignment="1" applyProtection="1">
      <alignment horizontal="center"/>
      <protection locked="0"/>
    </xf>
    <xf numFmtId="14" fontId="39" fillId="2" borderId="3" xfId="1" applyNumberFormat="1" applyFont="1" applyFill="1" applyBorder="1" applyAlignment="1" applyProtection="1">
      <alignment horizontal="center"/>
      <protection locked="0"/>
    </xf>
    <xf numFmtId="0" fontId="54" fillId="14" borderId="1" xfId="0" applyFont="1" applyFill="1" applyBorder="1" applyAlignment="1">
      <alignment horizontal="center"/>
    </xf>
    <xf numFmtId="0" fontId="54" fillId="14" borderId="1" xfId="0" applyFont="1" applyFill="1" applyBorder="1" applyAlignment="1">
      <alignment horizontal="right"/>
    </xf>
    <xf numFmtId="0" fontId="54" fillId="14" borderId="1" xfId="0" applyFont="1" applyFill="1" applyBorder="1" applyAlignment="1">
      <alignment horizontal="left"/>
    </xf>
    <xf numFmtId="0" fontId="55" fillId="14" borderId="1" xfId="0" applyFont="1" applyFill="1" applyBorder="1" applyAlignment="1">
      <alignment horizontal="right"/>
    </xf>
    <xf numFmtId="0" fontId="55" fillId="14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19" borderId="1" xfId="0" applyFont="1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14" fontId="31" fillId="0" borderId="1" xfId="0" applyNumberFormat="1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14" fontId="31" fillId="22" borderId="1" xfId="0" applyNumberFormat="1" applyFont="1" applyFill="1" applyBorder="1" applyAlignment="1">
      <alignment horizontal="center"/>
    </xf>
    <xf numFmtId="0" fontId="11" fillId="11" borderId="11" xfId="0" applyFont="1" applyFill="1" applyBorder="1" applyAlignment="1">
      <alignment horizontal="left" vertical="center"/>
    </xf>
    <xf numFmtId="0" fontId="50" fillId="0" borderId="0" xfId="0" applyFont="1" applyAlignment="1">
      <alignment horizontal="center"/>
    </xf>
    <xf numFmtId="0" fontId="10" fillId="5" borderId="11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left" vertical="center"/>
    </xf>
    <xf numFmtId="0" fontId="13" fillId="10" borderId="11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49" fillId="0" borderId="0" xfId="0" applyFont="1" applyAlignment="1">
      <alignment horizontal="center"/>
    </xf>
    <xf numFmtId="0" fontId="13" fillId="10" borderId="12" xfId="0" applyFont="1" applyFill="1" applyBorder="1" applyAlignment="1">
      <alignment horizontal="left" vertical="center"/>
    </xf>
    <xf numFmtId="0" fontId="13" fillId="10" borderId="13" xfId="0" applyFont="1" applyFill="1" applyBorder="1" applyAlignment="1">
      <alignment horizontal="left" vertical="center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17" fillId="27" borderId="2" xfId="0" applyFont="1" applyFill="1" applyBorder="1" applyAlignment="1">
      <alignment horizontal="right" vertical="center"/>
    </xf>
    <xf numFmtId="0" fontId="17" fillId="27" borderId="3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56" fillId="26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left" vertical="center"/>
    </xf>
    <xf numFmtId="1" fontId="33" fillId="4" borderId="1" xfId="0" applyNumberFormat="1" applyFont="1" applyFill="1" applyBorder="1" applyAlignment="1">
      <alignment horizontal="left" vertical="center"/>
    </xf>
    <xf numFmtId="166" fontId="60" fillId="30" borderId="1" xfId="0" applyNumberFormat="1" applyFont="1" applyFill="1" applyBorder="1" applyAlignment="1">
      <alignment horizontal="center"/>
    </xf>
    <xf numFmtId="0" fontId="17" fillId="30" borderId="6" xfId="0" applyFont="1" applyFill="1" applyBorder="1" applyAlignment="1">
      <alignment horizontal="center" vertical="center"/>
    </xf>
    <xf numFmtId="0" fontId="17" fillId="30" borderId="8" xfId="0" applyFont="1" applyFill="1" applyBorder="1" applyAlignment="1">
      <alignment horizontal="center" vertical="center"/>
    </xf>
    <xf numFmtId="0" fontId="17" fillId="30" borderId="9" xfId="0" applyFont="1" applyFill="1" applyBorder="1" applyAlignment="1">
      <alignment horizontal="center" vertical="center"/>
    </xf>
    <xf numFmtId="0" fontId="17" fillId="30" borderId="14" xfId="0" applyFont="1" applyFill="1" applyBorder="1" applyAlignment="1">
      <alignment horizontal="center" vertical="center"/>
    </xf>
    <xf numFmtId="0" fontId="59" fillId="28" borderId="2" xfId="0" applyFont="1" applyFill="1" applyBorder="1" applyAlignment="1">
      <alignment horizontal="center" vertical="center"/>
    </xf>
    <xf numFmtId="0" fontId="59" fillId="28" borderId="4" xfId="0" applyFont="1" applyFill="1" applyBorder="1" applyAlignment="1">
      <alignment horizontal="center" vertical="center"/>
    </xf>
    <xf numFmtId="0" fontId="58" fillId="28" borderId="2" xfId="0" applyFont="1" applyFill="1" applyBorder="1" applyAlignment="1">
      <alignment horizontal="right" vertical="center"/>
    </xf>
    <xf numFmtId="0" fontId="58" fillId="28" borderId="3" xfId="0" applyFont="1" applyFill="1" applyBorder="1" applyAlignment="1">
      <alignment horizontal="right" vertical="center"/>
    </xf>
    <xf numFmtId="0" fontId="58" fillId="28" borderId="4" xfId="0" applyFont="1" applyFill="1" applyBorder="1" applyAlignment="1">
      <alignment horizontal="right" vertical="center"/>
    </xf>
    <xf numFmtId="0" fontId="43" fillId="0" borderId="15" xfId="0" applyFont="1" applyBorder="1" applyAlignment="1">
      <alignment horizontal="center"/>
    </xf>
    <xf numFmtId="10" fontId="43" fillId="0" borderId="15" xfId="0" applyNumberFormat="1" applyFont="1" applyBorder="1" applyAlignment="1">
      <alignment horizontal="center"/>
    </xf>
    <xf numFmtId="43" fontId="36" fillId="4" borderId="1" xfId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33" borderId="6" xfId="0" applyFont="1" applyFill="1" applyBorder="1" applyAlignment="1">
      <alignment horizontal="center" vertical="center"/>
    </xf>
    <xf numFmtId="0" fontId="17" fillId="33" borderId="8" xfId="0" applyFont="1" applyFill="1" applyBorder="1" applyAlignment="1">
      <alignment horizontal="center" vertical="center"/>
    </xf>
    <xf numFmtId="0" fontId="17" fillId="33" borderId="9" xfId="0" applyFont="1" applyFill="1" applyBorder="1" applyAlignment="1">
      <alignment horizontal="center" vertical="center"/>
    </xf>
    <xf numFmtId="0" fontId="17" fillId="33" borderId="14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0129582E-F54C-4123-82B5-15DAD6AC52C8}"/>
  </tableStyles>
  <colors>
    <mruColors>
      <color rgb="FF7C4C45"/>
      <color rgb="FFF5F5DC"/>
      <color rgb="FF9B7B34"/>
      <color rgb="FFDFD3D0"/>
      <color rgb="FFF7EFD5"/>
      <color rgb="FFBCA3A3"/>
      <color rgb="FFCCDDE0"/>
      <color rgb="FFA3C2C6"/>
      <color rgb="FF57A3A3"/>
      <color rgb="FF7F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Aptos ExtraBold" panose="020B0004020202020204" pitchFamily="34" charset="0"/>
              </a:rPr>
              <a:t>COMPARATIVO</a:t>
            </a:r>
            <a:r>
              <a:rPr lang="pt-BR" baseline="0">
                <a:latin typeface="Aptos ExtraBold" panose="020B0004020202020204" pitchFamily="34" charset="0"/>
              </a:rPr>
              <a:t> DOS JUROS</a:t>
            </a:r>
            <a:endParaRPr lang="pt-BR">
              <a:latin typeface="Aptos Extra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16357762971936"/>
          <c:y val="0.11941937230926068"/>
          <c:w val="0.76282643104726411"/>
          <c:h val="0.69914104391989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[5]Planilha1!$B$3</c:f>
              <c:strCache>
                <c:ptCount val="1"/>
                <c:pt idx="0">
                  <c:v>Taxa Instruçao Normativa IN 28</c:v>
                </c:pt>
              </c:strCache>
            </c:strRef>
          </c:tx>
          <c:spPr>
            <a:solidFill>
              <a:srgbClr val="82232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val>
            <c:numRef>
              <c:f>[5]Planilha1!$C$3:$D$3</c:f>
              <c:numCache>
                <c:formatCode>General</c:formatCode>
                <c:ptCount val="2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1-41B9-A7AB-E02C8E32E67B}"/>
            </c:ext>
          </c:extLst>
        </c:ser>
        <c:ser>
          <c:idx val="1"/>
          <c:order val="1"/>
          <c:tx>
            <c:strRef>
              <c:f>[5]Planilha1!$B$4</c:f>
              <c:strCache>
                <c:ptCount val="1"/>
                <c:pt idx="0">
                  <c:v>Taxa Cobrada pelo Banco</c:v>
                </c:pt>
              </c:strCache>
            </c:strRef>
          </c:tx>
          <c:spPr>
            <a:solidFill>
              <a:srgbClr val="9B7B3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 prst="relaxedInset"/>
            </a:sp3d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[5]Planilha1!$C$4:$D$4</c:f>
              <c:numCache>
                <c:formatCode>General</c:formatCode>
                <c:ptCount val="2"/>
                <c:pt idx="0">
                  <c:v>2.6700000000000002E-2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1-41B9-A7AB-E02C8E32E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0"/>
        <c:axId val="568083152"/>
        <c:axId val="611488336"/>
      </c:barChart>
      <c:catAx>
        <c:axId val="56808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488336"/>
        <c:crosses val="autoZero"/>
        <c:auto val="1"/>
        <c:lblAlgn val="ctr"/>
        <c:lblOffset val="100"/>
        <c:noMultiLvlLbl val="0"/>
      </c:catAx>
      <c:valAx>
        <c:axId val="611488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08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6319196651051517"/>
          <c:y val="0.45112320959880015"/>
          <c:w val="0.33132280142197412"/>
          <c:h val="0.2390485189351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Indice</a:t>
            </a:r>
            <a:r>
              <a:rPr lang="pt-BR" baseline="0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 Acima daTaxa Media de  Mercado</a:t>
            </a:r>
            <a:endParaRPr lang="pt-BR">
              <a:solidFill>
                <a:schemeClr val="accent5">
                  <a:lumMod val="50000"/>
                </a:schemeClr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22322"/>
              </a:solidFill>
              <a:ln w="127000">
                <a:solidFill>
                  <a:srgbClr val="82232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11-4846-AEEC-7F9704FE309E}"/>
              </c:ext>
            </c:extLst>
          </c:dPt>
          <c:dPt>
            <c:idx val="1"/>
            <c:bubble3D val="0"/>
            <c:spPr>
              <a:solidFill>
                <a:srgbClr val="FFE7BA"/>
              </a:soli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F11-4846-AEEC-7F9704FE309E}"/>
              </c:ext>
            </c:extLst>
          </c:dPt>
          <c:val>
            <c:numRef>
              <c:f>'[6]PERCENTUAL TAXA MEDIA'!$C$61:$C$62</c:f>
              <c:numCache>
                <c:formatCode>General</c:formatCode>
                <c:ptCount val="2"/>
                <c:pt idx="0">
                  <c:v>0.8251160806592519</c:v>
                </c:pt>
                <c:pt idx="1">
                  <c:v>0.1748839193407481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11-4846-AEEC-7F9704FE3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D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Aptos ExtraBold" panose="020B0004020202020204" pitchFamily="34" charset="0"/>
              </a:rPr>
              <a:t>COMPARATIVO</a:t>
            </a:r>
            <a:r>
              <a:rPr lang="pt-BR" baseline="0">
                <a:latin typeface="Aptos ExtraBold" panose="020B0004020202020204" pitchFamily="34" charset="0"/>
              </a:rPr>
              <a:t> DOS JUROS</a:t>
            </a:r>
            <a:endParaRPr lang="pt-BR">
              <a:latin typeface="Aptos Extra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16357762971936"/>
          <c:y val="0.11941937230926068"/>
          <c:w val="0.76282643104726411"/>
          <c:h val="0.69914104391989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[5]Planilha1!$B$3</c:f>
              <c:strCache>
                <c:ptCount val="1"/>
                <c:pt idx="0">
                  <c:v>Taxa Instruçao Normativa IN 28</c:v>
                </c:pt>
              </c:strCache>
            </c:strRef>
          </c:tx>
          <c:spPr>
            <a:solidFill>
              <a:srgbClr val="82232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val>
            <c:numRef>
              <c:f>[5]Planilha1!$C$3:$D$3</c:f>
              <c:numCache>
                <c:formatCode>General</c:formatCode>
                <c:ptCount val="2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E-4EF4-989B-F27C56BF6A42}"/>
            </c:ext>
          </c:extLst>
        </c:ser>
        <c:ser>
          <c:idx val="1"/>
          <c:order val="1"/>
          <c:tx>
            <c:strRef>
              <c:f>[5]Planilha1!$B$4</c:f>
              <c:strCache>
                <c:ptCount val="1"/>
                <c:pt idx="0">
                  <c:v>Taxa Cobrada pelo Banco</c:v>
                </c:pt>
              </c:strCache>
            </c:strRef>
          </c:tx>
          <c:spPr>
            <a:solidFill>
              <a:srgbClr val="9B7B3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 prst="relaxedInset"/>
            </a:sp3d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[5]Planilha1!$C$4:$D$4</c:f>
              <c:numCache>
                <c:formatCode>General</c:formatCode>
                <c:ptCount val="2"/>
                <c:pt idx="0">
                  <c:v>2.6700000000000002E-2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FE-4EF4-989B-F27C56BF6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0"/>
        <c:axId val="568083152"/>
        <c:axId val="611488336"/>
      </c:barChart>
      <c:catAx>
        <c:axId val="56808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488336"/>
        <c:crosses val="autoZero"/>
        <c:auto val="1"/>
        <c:lblAlgn val="ctr"/>
        <c:lblOffset val="100"/>
        <c:noMultiLvlLbl val="0"/>
      </c:catAx>
      <c:valAx>
        <c:axId val="611488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08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6319196651051517"/>
          <c:y val="0.45112320959880015"/>
          <c:w val="0.33132280142197412"/>
          <c:h val="0.2390485189351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Indice</a:t>
            </a:r>
            <a:r>
              <a:rPr lang="pt-BR" baseline="0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 Acima da Taxa da IN 28</a:t>
            </a:r>
            <a:endParaRPr lang="pt-BR">
              <a:solidFill>
                <a:schemeClr val="accent5">
                  <a:lumMod val="50000"/>
                </a:schemeClr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22322"/>
              </a:solidFill>
              <a:ln w="127000">
                <a:solidFill>
                  <a:srgbClr val="82232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FD-4DD0-A841-CE709CCBDA2B}"/>
              </c:ext>
            </c:extLst>
          </c:dPt>
          <c:dPt>
            <c:idx val="1"/>
            <c:bubble3D val="0"/>
            <c:spPr>
              <a:solidFill>
                <a:srgbClr val="FFE7BA"/>
              </a:soli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7FD-4DD0-A841-CE709CCBDA2B}"/>
              </c:ext>
            </c:extLst>
          </c:dPt>
          <c:val>
            <c:numRef>
              <c:f>'[6]PERCENTUAL TAXA MEDIA'!$C$61:$C$62</c:f>
              <c:numCache>
                <c:formatCode>General</c:formatCode>
                <c:ptCount val="2"/>
                <c:pt idx="0">
                  <c:v>0.8251160806592519</c:v>
                </c:pt>
                <c:pt idx="1">
                  <c:v>0.1748839193407481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FD-4DD0-A841-CE709CCBD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D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Aptos ExtraBold" panose="020B0004020202020204" pitchFamily="34" charset="0"/>
              </a:rPr>
              <a:t>COMPARATIVO</a:t>
            </a:r>
            <a:r>
              <a:rPr lang="pt-BR" baseline="0">
                <a:latin typeface="Aptos ExtraBold" panose="020B0004020202020204" pitchFamily="34" charset="0"/>
              </a:rPr>
              <a:t> DOS JUROS</a:t>
            </a:r>
            <a:endParaRPr lang="pt-BR">
              <a:latin typeface="Aptos Extra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16357762971936"/>
          <c:y val="0.11941937230926068"/>
          <c:w val="0.76282643104726411"/>
          <c:h val="0.69914104391989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[5]Planilha1!$B$3</c:f>
              <c:strCache>
                <c:ptCount val="1"/>
                <c:pt idx="0">
                  <c:v>Taxa Instruçao Normativa IN 28</c:v>
                </c:pt>
              </c:strCache>
            </c:strRef>
          </c:tx>
          <c:spPr>
            <a:solidFill>
              <a:srgbClr val="82232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E64823">
                  <a:lumMod val="50000"/>
                </a:srgb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14300" prst="artDeco"/>
              </a:sp3d>
            </c:spPr>
            <c:extLst>
              <c:ext xmlns:c16="http://schemas.microsoft.com/office/drawing/2014/chart" uri="{C3380CC4-5D6E-409C-BE32-E72D297353CC}">
                <c16:uniqueId val="{00000003-65BD-4597-AAE9-1E6AA46DD8D0}"/>
              </c:ext>
            </c:extLst>
          </c:dPt>
          <c:val>
            <c:numRef>
              <c:f>[5]Planilha1!$C$3:$D$3</c:f>
              <c:numCache>
                <c:formatCode>General</c:formatCode>
                <c:ptCount val="2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D-4597-AAE9-1E6AA46DD8D0}"/>
            </c:ext>
          </c:extLst>
        </c:ser>
        <c:ser>
          <c:idx val="1"/>
          <c:order val="1"/>
          <c:tx>
            <c:strRef>
              <c:f>[5]Planilha1!$B$4</c:f>
              <c:strCache>
                <c:ptCount val="1"/>
                <c:pt idx="0">
                  <c:v>Taxa Cobrada pelo Banco</c:v>
                </c:pt>
              </c:strCache>
            </c:strRef>
          </c:tx>
          <c:spPr>
            <a:solidFill>
              <a:srgbClr val="9B7B3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 prst="relaxedInset"/>
            </a:sp3d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[5]Planilha1!$C$4:$D$4</c:f>
              <c:numCache>
                <c:formatCode>General</c:formatCode>
                <c:ptCount val="2"/>
                <c:pt idx="0">
                  <c:v>2.6700000000000002E-2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BD-4597-AAE9-1E6AA46DD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0"/>
        <c:axId val="568083152"/>
        <c:axId val="611488336"/>
      </c:barChart>
      <c:catAx>
        <c:axId val="56808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488336"/>
        <c:crosses val="autoZero"/>
        <c:auto val="1"/>
        <c:lblAlgn val="ctr"/>
        <c:lblOffset val="100"/>
        <c:noMultiLvlLbl val="0"/>
      </c:catAx>
      <c:valAx>
        <c:axId val="611488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08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6319196651051517"/>
          <c:y val="0.45112320959880015"/>
          <c:w val="0.33132280142197412"/>
          <c:h val="0.2390485189351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Indice</a:t>
            </a:r>
            <a:r>
              <a:rPr lang="pt-BR" baseline="0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 Acima da Taxa Contratual</a:t>
            </a:r>
            <a:endParaRPr lang="pt-BR">
              <a:solidFill>
                <a:schemeClr val="accent5">
                  <a:lumMod val="50000"/>
                </a:schemeClr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22322"/>
              </a:solidFill>
              <a:ln w="127000">
                <a:solidFill>
                  <a:srgbClr val="82232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FE-4F5C-869D-23C88564B6F5}"/>
              </c:ext>
            </c:extLst>
          </c:dPt>
          <c:dPt>
            <c:idx val="1"/>
            <c:bubble3D val="0"/>
            <c:spPr>
              <a:solidFill>
                <a:srgbClr val="FFE7BA"/>
              </a:soli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FFE-4F5C-869D-23C88564B6F5}"/>
              </c:ext>
            </c:extLst>
          </c:dPt>
          <c:val>
            <c:numRef>
              <c:f>'[6]PERCENTUAL TAXA MEDIA'!$C$61:$C$62</c:f>
              <c:numCache>
                <c:formatCode>General</c:formatCode>
                <c:ptCount val="2"/>
                <c:pt idx="0">
                  <c:v>0.8251160806592519</c:v>
                </c:pt>
                <c:pt idx="1">
                  <c:v>0.1748839193407481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FE-4F5C-869D-23C88564B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D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312371</xdr:colOff>
      <xdr:row>1</xdr:row>
      <xdr:rowOff>13608</xdr:rowOff>
    </xdr:from>
    <xdr:to>
      <xdr:col>4</xdr:col>
      <xdr:colOff>34290</xdr:colOff>
      <xdr:row>8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FCEEAA7-07AD-8AC1-56D6-9B7A86F239F0}"/>
            </a:ext>
          </a:extLst>
        </xdr:cNvPr>
        <xdr:cNvSpPr/>
      </xdr:nvSpPr>
      <xdr:spPr>
        <a:xfrm>
          <a:off x="312371" y="394608"/>
          <a:ext cx="5734099" cy="2118995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314777</xdr:colOff>
      <xdr:row>9</xdr:row>
      <xdr:rowOff>4537</xdr:rowOff>
    </xdr:from>
    <xdr:to>
      <xdr:col>4</xdr:col>
      <xdr:colOff>26670</xdr:colOff>
      <xdr:row>15</xdr:row>
      <xdr:rowOff>20412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9A65E7F-6FB6-4589-A205-3D3A36C78DD9}"/>
            </a:ext>
          </a:extLst>
        </xdr:cNvPr>
        <xdr:cNvSpPr/>
      </xdr:nvSpPr>
      <xdr:spPr>
        <a:xfrm>
          <a:off x="314777" y="3475447"/>
          <a:ext cx="5724073" cy="2118995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314774</xdr:colOff>
      <xdr:row>16</xdr:row>
      <xdr:rowOff>22669</xdr:rowOff>
    </xdr:from>
    <xdr:to>
      <xdr:col>4</xdr:col>
      <xdr:colOff>34290</xdr:colOff>
      <xdr:row>22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43CE912-98FD-4151-89A7-AD50279D94E2}"/>
            </a:ext>
          </a:extLst>
        </xdr:cNvPr>
        <xdr:cNvSpPr/>
      </xdr:nvSpPr>
      <xdr:spPr>
        <a:xfrm>
          <a:off x="314774" y="5901499"/>
          <a:ext cx="5731696" cy="2118996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314777</xdr:colOff>
      <xdr:row>23</xdr:row>
      <xdr:rowOff>4527</xdr:rowOff>
    </xdr:from>
    <xdr:to>
      <xdr:col>4</xdr:col>
      <xdr:colOff>30480</xdr:colOff>
      <xdr:row>29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1EC516D-7854-4866-8FB7-70A8F9C3BF9F}"/>
            </a:ext>
          </a:extLst>
        </xdr:cNvPr>
        <xdr:cNvSpPr/>
      </xdr:nvSpPr>
      <xdr:spPr>
        <a:xfrm>
          <a:off x="314777" y="8588457"/>
          <a:ext cx="5727883" cy="2098593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314141</xdr:colOff>
      <xdr:row>29</xdr:row>
      <xdr:rowOff>161471</xdr:rowOff>
    </xdr:from>
    <xdr:to>
      <xdr:col>4</xdr:col>
      <xdr:colOff>38100</xdr:colOff>
      <xdr:row>35</xdr:row>
      <xdr:rowOff>299811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CA001B3-CCFD-4F94-8743-261C9AAB595A}"/>
            </a:ext>
          </a:extLst>
        </xdr:cNvPr>
        <xdr:cNvSpPr/>
      </xdr:nvSpPr>
      <xdr:spPr>
        <a:xfrm>
          <a:off x="314141" y="11431451"/>
          <a:ext cx="5736139" cy="2115730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==</a:t>
          </a:r>
        </a:p>
      </xdr:txBody>
    </xdr:sp>
    <xdr:clientData/>
  </xdr:twoCellAnchor>
  <xdr:twoCellAnchor>
    <xdr:from>
      <xdr:col>0</xdr:col>
      <xdr:colOff>314779</xdr:colOff>
      <xdr:row>37</xdr:row>
      <xdr:rowOff>158750</xdr:rowOff>
    </xdr:from>
    <xdr:to>
      <xdr:col>4</xdr:col>
      <xdr:colOff>34290</xdr:colOff>
      <xdr:row>43</xdr:row>
      <xdr:rowOff>297090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D73C31F-7F1F-43E5-9CA3-14128847312A}"/>
            </a:ext>
          </a:extLst>
        </xdr:cNvPr>
        <xdr:cNvSpPr/>
      </xdr:nvSpPr>
      <xdr:spPr>
        <a:xfrm>
          <a:off x="314779" y="14305280"/>
          <a:ext cx="5731691" cy="2115730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317500</xdr:colOff>
      <xdr:row>45</xdr:row>
      <xdr:rowOff>0</xdr:rowOff>
    </xdr:from>
    <xdr:to>
      <xdr:col>4</xdr:col>
      <xdr:colOff>34290</xdr:colOff>
      <xdr:row>51</xdr:row>
      <xdr:rowOff>36742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FA9C09D-8B98-4A75-9EDD-AED8A68CD300}"/>
            </a:ext>
          </a:extLst>
        </xdr:cNvPr>
        <xdr:cNvSpPr/>
      </xdr:nvSpPr>
      <xdr:spPr>
        <a:xfrm>
          <a:off x="317500" y="17350561"/>
          <a:ext cx="5728970" cy="2120991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47625</xdr:rowOff>
    </xdr:from>
    <xdr:to>
      <xdr:col>3</xdr:col>
      <xdr:colOff>523875</xdr:colOff>
      <xdr:row>22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258785-93AA-483A-8EE9-892FA3F25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971550</xdr:colOff>
      <xdr:row>14</xdr:row>
      <xdr:rowOff>123825</xdr:rowOff>
    </xdr:from>
    <xdr:to>
      <xdr:col>1</xdr:col>
      <xdr:colOff>1447800</xdr:colOff>
      <xdr:row>18</xdr:row>
      <xdr:rowOff>161926</xdr:rowOff>
    </xdr:to>
    <xdr:sp macro="" textlink="#REF!">
      <xdr:nvSpPr>
        <xdr:cNvPr id="3" name="CaixaDeTexto 2">
          <a:extLst>
            <a:ext uri="{FF2B5EF4-FFF2-40B4-BE49-F238E27FC236}">
              <a16:creationId xmlns:a16="http://schemas.microsoft.com/office/drawing/2014/main" id="{887ECA03-68C4-4449-A873-CCE549B1F86B}"/>
            </a:ext>
          </a:extLst>
        </xdr:cNvPr>
        <xdr:cNvSpPr txBox="1"/>
      </xdr:nvSpPr>
      <xdr:spPr>
        <a:xfrm rot="16200000">
          <a:off x="933449" y="3352801"/>
          <a:ext cx="800101" cy="476250"/>
        </a:xfrm>
        <a:prstGeom prst="rect">
          <a:avLst/>
        </a:prstGeom>
        <a:solidFill>
          <a:srgbClr val="811C1A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6F4E2D2D-CBE6-4208-998B-383DE1DE8FC3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1,48%</a:t>
          </a:fld>
          <a:endParaRPr kumimoji="0" lang="pt-BR" sz="16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2433638</xdr:colOff>
      <xdr:row>12</xdr:row>
      <xdr:rowOff>147638</xdr:rowOff>
    </xdr:from>
    <xdr:to>
      <xdr:col>1</xdr:col>
      <xdr:colOff>2776537</xdr:colOff>
      <xdr:row>16</xdr:row>
      <xdr:rowOff>176213</xdr:rowOff>
    </xdr:to>
    <xdr:sp macro="" textlink="#REF!">
      <xdr:nvSpPr>
        <xdr:cNvPr id="4" name="CaixaDeTexto 3">
          <a:extLst>
            <a:ext uri="{FF2B5EF4-FFF2-40B4-BE49-F238E27FC236}">
              <a16:creationId xmlns:a16="http://schemas.microsoft.com/office/drawing/2014/main" id="{2B77AF05-245C-4B01-A121-05131A17F224}"/>
            </a:ext>
          </a:extLst>
        </xdr:cNvPr>
        <xdr:cNvSpPr txBox="1"/>
      </xdr:nvSpPr>
      <xdr:spPr>
        <a:xfrm rot="16200000">
          <a:off x="2333625" y="3057526"/>
          <a:ext cx="790575" cy="34289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3F3FD63-89A2-4FFD-AC1D-54177E0BB0F0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2,62%</a:t>
          </a:fld>
          <a:endParaRPr kumimoji="0" lang="pt-BR" sz="11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34028</xdr:colOff>
      <xdr:row>24</xdr:row>
      <xdr:rowOff>33334</xdr:rowOff>
    </xdr:from>
    <xdr:to>
      <xdr:col>3</xdr:col>
      <xdr:colOff>574912</xdr:colOff>
      <xdr:row>39</xdr:row>
      <xdr:rowOff>163282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D5FF640-DF5B-444B-9F78-42CF021E8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24</xdr:row>
      <xdr:rowOff>13607</xdr:rowOff>
    </xdr:from>
    <xdr:to>
      <xdr:col>3</xdr:col>
      <xdr:colOff>605517</xdr:colOff>
      <xdr:row>39</xdr:row>
      <xdr:rowOff>176892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91B10563-1065-43FE-8294-A66C5301A8A0}"/>
            </a:ext>
          </a:extLst>
        </xdr:cNvPr>
        <xdr:cNvSpPr/>
      </xdr:nvSpPr>
      <xdr:spPr>
        <a:xfrm>
          <a:off x="151039" y="5014232"/>
          <a:ext cx="6131378" cy="3030310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27211</xdr:rowOff>
    </xdr:from>
    <xdr:to>
      <xdr:col>4</xdr:col>
      <xdr:colOff>6804</xdr:colOff>
      <xdr:row>22</xdr:row>
      <xdr:rowOff>183697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2B1A548-CEA2-46E1-B63C-983F81F979E0}"/>
            </a:ext>
          </a:extLst>
        </xdr:cNvPr>
        <xdr:cNvSpPr/>
      </xdr:nvSpPr>
      <xdr:spPr>
        <a:xfrm>
          <a:off x="123825" y="227236"/>
          <a:ext cx="6169479" cy="4547511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0.40704</cdr:x>
      <cdr:y>0.39559</cdr:y>
    </cdr:from>
    <cdr:to>
      <cdr:x>0.59352</cdr:x>
      <cdr:y>0.74779</cdr:y>
    </cdr:to>
    <cdr:sp macro="" textlink="'1.1. INDICE ACIMA TAXA MEDIA'!$C$5:$D$5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F3741130-E4E8-5B2E-A426-F2F2438DDB6A}"/>
            </a:ext>
          </a:extLst>
        </cdr:cNvPr>
        <cdr:cNvSpPr/>
      </cdr:nvSpPr>
      <cdr:spPr>
        <a:xfrm xmlns:a="http://schemas.openxmlformats.org/drawingml/2006/main">
          <a:off x="2479902" y="1184503"/>
          <a:ext cx="1136197" cy="105455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0" tIns="0" rIns="0" bIns="0" anchor="ctr" anchorCtr="0"/>
        <a:lstStyle xmlns:a="http://schemas.openxmlformats.org/drawingml/2006/main"/>
        <a:p xmlns:a="http://schemas.openxmlformats.org/drawingml/2006/main">
          <a:fld id="{96A72E5E-21C4-4E8C-914E-6A89FC62D877}" type="TxLink">
            <a:rPr lang="en-US" sz="1600" b="0" i="0" u="none" strike="noStrike" kern="1200">
              <a:solidFill>
                <a:srgbClr val="000000"/>
              </a:solidFill>
              <a:latin typeface="Aptos ExtraBold"/>
            </a:rPr>
            <a:pPr/>
            <a:t>27,14%</a:t>
          </a:fld>
          <a:endParaRPr lang="pt-BR" sz="1800" kern="1200">
            <a:solidFill>
              <a:schemeClr val="accent5">
                <a:lumMod val="50000"/>
              </a:schemeClr>
            </a:solidFill>
            <a:latin typeface="Aptos ExtraBold" panose="020B00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47625</xdr:rowOff>
    </xdr:from>
    <xdr:to>
      <xdr:col>3</xdr:col>
      <xdr:colOff>523875</xdr:colOff>
      <xdr:row>22</xdr:row>
      <xdr:rowOff>133350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25D6C2E-69D7-4D4C-8610-099FF600D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971550</xdr:colOff>
      <xdr:row>15</xdr:row>
      <xdr:rowOff>9525</xdr:rowOff>
    </xdr:from>
    <xdr:to>
      <xdr:col>1</xdr:col>
      <xdr:colOff>1447800</xdr:colOff>
      <xdr:row>19</xdr:row>
      <xdr:rowOff>47626</xdr:rowOff>
    </xdr:to>
    <xdr:sp macro="" textlink="#REF!">
      <xdr:nvSpPr>
        <xdr:cNvPr id="15" name="CaixaDeTexto 14">
          <a:extLst>
            <a:ext uri="{FF2B5EF4-FFF2-40B4-BE49-F238E27FC236}">
              <a16:creationId xmlns:a16="http://schemas.microsoft.com/office/drawing/2014/main" id="{0FBD2349-C7AC-44C1-8DEF-187F701129A6}"/>
            </a:ext>
          </a:extLst>
        </xdr:cNvPr>
        <xdr:cNvSpPr txBox="1"/>
      </xdr:nvSpPr>
      <xdr:spPr>
        <a:xfrm rot="16200000">
          <a:off x="933449" y="3429001"/>
          <a:ext cx="800101" cy="476250"/>
        </a:xfrm>
        <a:prstGeom prst="rect">
          <a:avLst/>
        </a:prstGeom>
        <a:solidFill>
          <a:srgbClr val="811C1A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6F4E2D2D-CBE6-4208-998B-383DE1DE8FC3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1,48%</a:t>
          </a:fld>
          <a:endParaRPr kumimoji="0" lang="pt-BR" sz="16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2433638</xdr:colOff>
      <xdr:row>15</xdr:row>
      <xdr:rowOff>14288</xdr:rowOff>
    </xdr:from>
    <xdr:to>
      <xdr:col>1</xdr:col>
      <xdr:colOff>2776537</xdr:colOff>
      <xdr:row>19</xdr:row>
      <xdr:rowOff>42863</xdr:rowOff>
    </xdr:to>
    <xdr:sp macro="" textlink="#REF!">
      <xdr:nvSpPr>
        <xdr:cNvPr id="16" name="CaixaDeTexto 15">
          <a:extLst>
            <a:ext uri="{FF2B5EF4-FFF2-40B4-BE49-F238E27FC236}">
              <a16:creationId xmlns:a16="http://schemas.microsoft.com/office/drawing/2014/main" id="{8D55C013-26E0-4A04-9F6F-C632B166D132}"/>
            </a:ext>
          </a:extLst>
        </xdr:cNvPr>
        <xdr:cNvSpPr txBox="1"/>
      </xdr:nvSpPr>
      <xdr:spPr>
        <a:xfrm rot="16200000">
          <a:off x="2333625" y="3495676"/>
          <a:ext cx="790575" cy="34289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3F3FD63-89A2-4FFD-AC1D-54177E0BB0F0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2,62%</a:t>
          </a:fld>
          <a:endParaRPr kumimoji="0" lang="pt-BR" sz="11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34028</xdr:colOff>
      <xdr:row>24</xdr:row>
      <xdr:rowOff>33334</xdr:rowOff>
    </xdr:from>
    <xdr:to>
      <xdr:col>3</xdr:col>
      <xdr:colOff>574912</xdr:colOff>
      <xdr:row>39</xdr:row>
      <xdr:rowOff>163282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A7BEE25-0EF6-4BED-B956-BAA4E960D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24</xdr:row>
      <xdr:rowOff>13607</xdr:rowOff>
    </xdr:from>
    <xdr:to>
      <xdr:col>3</xdr:col>
      <xdr:colOff>605517</xdr:colOff>
      <xdr:row>39</xdr:row>
      <xdr:rowOff>176892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136904AA-F3BA-42F8-A576-BB53735A0A93}"/>
            </a:ext>
          </a:extLst>
        </xdr:cNvPr>
        <xdr:cNvSpPr/>
      </xdr:nvSpPr>
      <xdr:spPr>
        <a:xfrm>
          <a:off x="151039" y="5014232"/>
          <a:ext cx="6131378" cy="3030310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27211</xdr:rowOff>
    </xdr:from>
    <xdr:to>
      <xdr:col>4</xdr:col>
      <xdr:colOff>6804</xdr:colOff>
      <xdr:row>22</xdr:row>
      <xdr:rowOff>183697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4E8A6694-847B-4F18-BF79-AC624C5206A2}"/>
            </a:ext>
          </a:extLst>
        </xdr:cNvPr>
        <xdr:cNvSpPr/>
      </xdr:nvSpPr>
      <xdr:spPr>
        <a:xfrm>
          <a:off x="123825" y="227236"/>
          <a:ext cx="6169479" cy="4547511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0.40704</cdr:x>
      <cdr:y>0.39559</cdr:y>
    </cdr:from>
    <cdr:to>
      <cdr:x>0.59352</cdr:x>
      <cdr:y>0.74779</cdr:y>
    </cdr:to>
    <cdr:sp macro="" textlink="'2.2 INDICE ACIMA DA TAXA IN 28'!$C$5:$D$5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F3741130-E4E8-5B2E-A426-F2F2438DDB6A}"/>
            </a:ext>
          </a:extLst>
        </cdr:cNvPr>
        <cdr:cNvSpPr/>
      </cdr:nvSpPr>
      <cdr:spPr>
        <a:xfrm xmlns:a="http://schemas.openxmlformats.org/drawingml/2006/main">
          <a:off x="2479902" y="1184503"/>
          <a:ext cx="1136197" cy="105455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0" tIns="0" rIns="0" bIns="0" anchor="ctr" anchorCtr="0"/>
        <a:lstStyle xmlns:a="http://schemas.openxmlformats.org/drawingml/2006/main"/>
        <a:p xmlns:a="http://schemas.openxmlformats.org/drawingml/2006/main">
          <a:fld id="{69E13837-C67D-4AB0-A1FC-6DAC25457D55}" type="TxLink">
            <a:rPr lang="en-US" sz="1600" b="0" i="0" u="none" strike="noStrike" kern="1200">
              <a:solidFill>
                <a:srgbClr val="000000"/>
              </a:solidFill>
              <a:latin typeface="Aptos ExtraBold"/>
            </a:rPr>
            <a:pPr/>
            <a:t>#REF!</a:t>
          </a:fld>
          <a:endParaRPr lang="pt-BR" sz="1800" kern="1200">
            <a:solidFill>
              <a:schemeClr val="accent5">
                <a:lumMod val="50000"/>
              </a:schemeClr>
            </a:solidFill>
            <a:latin typeface="Aptos ExtraBold" panose="020B00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47625</xdr:rowOff>
    </xdr:from>
    <xdr:to>
      <xdr:col>3</xdr:col>
      <xdr:colOff>523875</xdr:colOff>
      <xdr:row>22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3BB27FB-268E-4D8F-A13F-2CE709C1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971550</xdr:colOff>
      <xdr:row>15</xdr:row>
      <xdr:rowOff>9525</xdr:rowOff>
    </xdr:from>
    <xdr:to>
      <xdr:col>1</xdr:col>
      <xdr:colOff>1447800</xdr:colOff>
      <xdr:row>19</xdr:row>
      <xdr:rowOff>47626</xdr:rowOff>
    </xdr:to>
    <xdr:sp macro="" textlink="#REF!">
      <xdr:nvSpPr>
        <xdr:cNvPr id="9" name="CaixaDeTexto 8">
          <a:extLst>
            <a:ext uri="{FF2B5EF4-FFF2-40B4-BE49-F238E27FC236}">
              <a16:creationId xmlns:a16="http://schemas.microsoft.com/office/drawing/2014/main" id="{0F4D5CD3-C63D-4CC0-B634-3C88E0256B86}"/>
            </a:ext>
          </a:extLst>
        </xdr:cNvPr>
        <xdr:cNvSpPr txBox="1"/>
      </xdr:nvSpPr>
      <xdr:spPr>
        <a:xfrm rot="16200000">
          <a:off x="933449" y="3429001"/>
          <a:ext cx="800101" cy="47625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accent5">
              <a:lumMod val="50000"/>
            </a:scheme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6F4E2D2D-CBE6-4208-998B-383DE1DE8FC3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1,48%</a:t>
          </a:fld>
          <a:endParaRPr kumimoji="0" lang="pt-BR" sz="16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2433638</xdr:colOff>
      <xdr:row>14</xdr:row>
      <xdr:rowOff>4763</xdr:rowOff>
    </xdr:from>
    <xdr:to>
      <xdr:col>1</xdr:col>
      <xdr:colOff>2776537</xdr:colOff>
      <xdr:row>18</xdr:row>
      <xdr:rowOff>33338</xdr:rowOff>
    </xdr:to>
    <xdr:sp macro="" textlink="#REF!">
      <xdr:nvSpPr>
        <xdr:cNvPr id="10" name="CaixaDeTexto 9">
          <a:extLst>
            <a:ext uri="{FF2B5EF4-FFF2-40B4-BE49-F238E27FC236}">
              <a16:creationId xmlns:a16="http://schemas.microsoft.com/office/drawing/2014/main" id="{5C9741E4-FC86-4FA8-9D46-4C05074E0C43}"/>
            </a:ext>
          </a:extLst>
        </xdr:cNvPr>
        <xdr:cNvSpPr txBox="1"/>
      </xdr:nvSpPr>
      <xdr:spPr>
        <a:xfrm rot="16200000">
          <a:off x="2400300" y="3295651"/>
          <a:ext cx="790575" cy="34289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3F3FD63-89A2-4FFD-AC1D-54177E0BB0F0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2,62%</a:t>
          </a:fld>
          <a:endParaRPr kumimoji="0" lang="pt-BR" sz="11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34028</xdr:colOff>
      <xdr:row>24</xdr:row>
      <xdr:rowOff>33334</xdr:rowOff>
    </xdr:from>
    <xdr:to>
      <xdr:col>3</xdr:col>
      <xdr:colOff>574912</xdr:colOff>
      <xdr:row>39</xdr:row>
      <xdr:rowOff>163282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80984E9-2E2D-4AC8-886A-D7664A649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24</xdr:row>
      <xdr:rowOff>13607</xdr:rowOff>
    </xdr:from>
    <xdr:to>
      <xdr:col>3</xdr:col>
      <xdr:colOff>605517</xdr:colOff>
      <xdr:row>39</xdr:row>
      <xdr:rowOff>176892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3D3726E-73AB-4697-A05E-B21FEE818F2B}"/>
            </a:ext>
          </a:extLst>
        </xdr:cNvPr>
        <xdr:cNvSpPr/>
      </xdr:nvSpPr>
      <xdr:spPr>
        <a:xfrm>
          <a:off x="151039" y="5014232"/>
          <a:ext cx="6131378" cy="3030310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27211</xdr:rowOff>
    </xdr:from>
    <xdr:to>
      <xdr:col>4</xdr:col>
      <xdr:colOff>6804</xdr:colOff>
      <xdr:row>22</xdr:row>
      <xdr:rowOff>183697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18260E2A-8B4B-48A7-8347-F6F4012C7949}"/>
            </a:ext>
          </a:extLst>
        </xdr:cNvPr>
        <xdr:cNvSpPr/>
      </xdr:nvSpPr>
      <xdr:spPr>
        <a:xfrm>
          <a:off x="123825" y="227236"/>
          <a:ext cx="6169479" cy="4547511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0.40704</cdr:x>
      <cdr:y>0.39559</cdr:y>
    </cdr:from>
    <cdr:to>
      <cdr:x>0.59352</cdr:x>
      <cdr:y>0.74779</cdr:y>
    </cdr:to>
    <cdr:sp macro="" textlink="'3.3 INDICE ACIMA TAXA CONTRATUA'!$C$5:$D$5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F3741130-E4E8-5B2E-A426-F2F2438DDB6A}"/>
            </a:ext>
          </a:extLst>
        </cdr:cNvPr>
        <cdr:cNvSpPr/>
      </cdr:nvSpPr>
      <cdr:spPr>
        <a:xfrm xmlns:a="http://schemas.openxmlformats.org/drawingml/2006/main">
          <a:off x="2479902" y="1184503"/>
          <a:ext cx="1136197" cy="105455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0" tIns="0" rIns="0" bIns="0" anchor="ctr" anchorCtr="0"/>
        <a:lstStyle xmlns:a="http://schemas.openxmlformats.org/drawingml/2006/main"/>
        <a:p xmlns:a="http://schemas.openxmlformats.org/drawingml/2006/main">
          <a:fld id="{C6D1F453-F1C3-4666-9A8A-ECA0F12FB2E7}" type="TxLink">
            <a:rPr lang="en-US" sz="1600" b="0" i="0" u="none" strike="noStrike" kern="1200">
              <a:solidFill>
                <a:srgbClr val="000000"/>
              </a:solidFill>
              <a:latin typeface="Aptos ExtraBold"/>
            </a:rPr>
            <a:pPr/>
            <a:t>5,84%</a:t>
          </a:fld>
          <a:endParaRPr lang="pt-BR" sz="1800" kern="1200">
            <a:solidFill>
              <a:schemeClr val="accent5">
                <a:lumMod val="50000"/>
              </a:schemeClr>
            </a:solidFill>
            <a:latin typeface="Aptos ExtraBold" panose="020B0004020202020204" pitchFamily="34" charset="0"/>
          </a:endParaRPr>
        </a:p>
      </cdr:txBody>
    </cdr:sp>
  </cdr:relSizeAnchor>
</c:userShape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">
  <a:themeElements>
    <a:clrScheme name="Amare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Amarelo">
    <a:dk1>
      <a:sysClr val="windowText" lastClr="000000"/>
    </a:dk1>
    <a:lt1>
      <a:sysClr val="window" lastClr="FFFFFF"/>
    </a:lt1>
    <a:dk2>
      <a:srgbClr val="39302A"/>
    </a:dk2>
    <a:lt2>
      <a:srgbClr val="E5DEDB"/>
    </a:lt2>
    <a:accent1>
      <a:srgbClr val="FFCA08"/>
    </a:accent1>
    <a:accent2>
      <a:srgbClr val="F8931D"/>
    </a:accent2>
    <a:accent3>
      <a:srgbClr val="CE8D3E"/>
    </a:accent3>
    <a:accent4>
      <a:srgbClr val="EC7016"/>
    </a:accent4>
    <a:accent5>
      <a:srgbClr val="E64823"/>
    </a:accent5>
    <a:accent6>
      <a:srgbClr val="9C6A6A"/>
    </a:accent6>
    <a:hlink>
      <a:srgbClr val="2998E3"/>
    </a:hlink>
    <a:folHlink>
      <a:srgbClr val="7F723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Amarelo">
    <a:dk1>
      <a:sysClr val="windowText" lastClr="000000"/>
    </a:dk1>
    <a:lt1>
      <a:sysClr val="window" lastClr="FFFFFF"/>
    </a:lt1>
    <a:dk2>
      <a:srgbClr val="39302A"/>
    </a:dk2>
    <a:lt2>
      <a:srgbClr val="E5DEDB"/>
    </a:lt2>
    <a:accent1>
      <a:srgbClr val="FFCA08"/>
    </a:accent1>
    <a:accent2>
      <a:srgbClr val="F8931D"/>
    </a:accent2>
    <a:accent3>
      <a:srgbClr val="CE8D3E"/>
    </a:accent3>
    <a:accent4>
      <a:srgbClr val="EC7016"/>
    </a:accent4>
    <a:accent5>
      <a:srgbClr val="E64823"/>
    </a:accent5>
    <a:accent6>
      <a:srgbClr val="9C6A6A"/>
    </a:accent6>
    <a:hlink>
      <a:srgbClr val="2998E3"/>
    </a:hlink>
    <a:folHlink>
      <a:srgbClr val="7F723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Amarelo">
    <a:dk1>
      <a:sysClr val="windowText" lastClr="000000"/>
    </a:dk1>
    <a:lt1>
      <a:sysClr val="window" lastClr="FFFFFF"/>
    </a:lt1>
    <a:dk2>
      <a:srgbClr val="39302A"/>
    </a:dk2>
    <a:lt2>
      <a:srgbClr val="E5DEDB"/>
    </a:lt2>
    <a:accent1>
      <a:srgbClr val="FFCA08"/>
    </a:accent1>
    <a:accent2>
      <a:srgbClr val="F8931D"/>
    </a:accent2>
    <a:accent3>
      <a:srgbClr val="CE8D3E"/>
    </a:accent3>
    <a:accent4>
      <a:srgbClr val="EC7016"/>
    </a:accent4>
    <a:accent5>
      <a:srgbClr val="E64823"/>
    </a:accent5>
    <a:accent6>
      <a:srgbClr val="9C6A6A"/>
    </a:accent6>
    <a:hlink>
      <a:srgbClr val="2998E3"/>
    </a:hlink>
    <a:folHlink>
      <a:srgbClr val="7F723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D144-BFE1-4603-BAE3-868470B9DB61}">
  <dimension ref="A1:K90"/>
  <sheetViews>
    <sheetView topLeftCell="A22" workbookViewId="0">
      <selection activeCell="J14" sqref="J14"/>
    </sheetView>
  </sheetViews>
  <sheetFormatPr defaultRowHeight="15" x14ac:dyDescent="0.25"/>
  <cols>
    <col min="1" max="1" width="2.5703125" style="5" customWidth="1"/>
    <col min="2" max="2" width="9.140625" style="5"/>
    <col min="3" max="3" width="26.28515625" style="5" customWidth="1"/>
    <col min="4" max="4" width="9.140625" style="5"/>
    <col min="5" max="5" width="5.5703125" style="5" customWidth="1"/>
    <col min="6" max="6" width="9.140625" style="5"/>
    <col min="7" max="7" width="10.7109375" style="5" customWidth="1"/>
    <col min="8" max="8" width="11.140625" style="5" customWidth="1"/>
    <col min="9" max="9" width="21" style="5" customWidth="1"/>
    <col min="10" max="10" width="28.5703125" style="5" customWidth="1"/>
    <col min="11" max="11" width="9.140625" style="5"/>
  </cols>
  <sheetData>
    <row r="1" spans="1:11" ht="15.75" thickBot="1" x14ac:dyDescent="0.3">
      <c r="A1"/>
      <c r="B1"/>
      <c r="C1"/>
      <c r="D1"/>
      <c r="E1"/>
      <c r="F1"/>
      <c r="G1"/>
      <c r="H1"/>
      <c r="I1"/>
      <c r="J1"/>
      <c r="K1"/>
    </row>
    <row r="2" spans="1:11" ht="27.75" thickTop="1" thickBot="1" x14ac:dyDescent="0.45">
      <c r="A2" s="4"/>
      <c r="B2" s="158" t="s">
        <v>57</v>
      </c>
      <c r="C2" s="159"/>
      <c r="D2" s="159"/>
      <c r="E2" s="159"/>
      <c r="F2" s="159"/>
      <c r="G2" s="159"/>
      <c r="H2" s="159"/>
      <c r="I2" s="159"/>
      <c r="J2"/>
      <c r="K2"/>
    </row>
    <row r="3" spans="1:11" ht="19.5" thickTop="1" thickBot="1" x14ac:dyDescent="0.3">
      <c r="A3" s="4"/>
      <c r="B3" s="150" t="s">
        <v>165</v>
      </c>
      <c r="C3" s="151"/>
      <c r="D3" s="151"/>
      <c r="E3" s="152"/>
      <c r="F3" s="153" t="s">
        <v>166</v>
      </c>
      <c r="G3" s="154"/>
      <c r="H3" s="154"/>
      <c r="I3" s="154"/>
      <c r="J3"/>
      <c r="K3"/>
    </row>
    <row r="4" spans="1:11" ht="19.5" thickTop="1" thickBot="1" x14ac:dyDescent="0.3">
      <c r="A4" s="4"/>
      <c r="B4" s="118" t="s">
        <v>0</v>
      </c>
      <c r="C4" s="118"/>
      <c r="D4" s="118"/>
      <c r="E4" s="118"/>
      <c r="F4" s="119"/>
      <c r="G4" s="120"/>
      <c r="H4" s="120"/>
      <c r="I4" s="120"/>
      <c r="J4"/>
      <c r="K4"/>
    </row>
    <row r="5" spans="1:11" ht="19.5" thickTop="1" thickBot="1" x14ac:dyDescent="0.3">
      <c r="A5" s="4"/>
      <c r="B5" s="118" t="s">
        <v>54</v>
      </c>
      <c r="C5" s="118"/>
      <c r="D5" s="118"/>
      <c r="E5" s="118"/>
      <c r="F5" s="160">
        <v>45148</v>
      </c>
      <c r="G5" s="161"/>
      <c r="H5" s="25"/>
      <c r="I5" s="33"/>
      <c r="J5"/>
      <c r="K5"/>
    </row>
    <row r="6" spans="1:11" ht="19.5" thickTop="1" thickBot="1" x14ac:dyDescent="0.3">
      <c r="A6" s="4"/>
      <c r="B6" s="150" t="s">
        <v>55</v>
      </c>
      <c r="C6" s="151"/>
      <c r="D6" s="151"/>
      <c r="E6" s="152"/>
      <c r="F6" s="153" t="s">
        <v>60</v>
      </c>
      <c r="G6" s="154"/>
      <c r="H6" s="154"/>
      <c r="I6" s="154"/>
      <c r="J6"/>
      <c r="K6"/>
    </row>
    <row r="7" spans="1:11" ht="19.5" thickTop="1" thickBot="1" x14ac:dyDescent="0.3">
      <c r="A7" s="4"/>
      <c r="B7" s="150" t="s">
        <v>58</v>
      </c>
      <c r="C7" s="151"/>
      <c r="D7" s="151"/>
      <c r="E7" s="152"/>
      <c r="F7" s="153" t="s">
        <v>59</v>
      </c>
      <c r="G7" s="154"/>
      <c r="H7" s="154"/>
      <c r="I7" s="154"/>
      <c r="J7"/>
      <c r="K7"/>
    </row>
    <row r="8" spans="1:11" ht="19.5" thickTop="1" thickBot="1" x14ac:dyDescent="0.3">
      <c r="A8" s="4"/>
      <c r="B8" s="150" t="s">
        <v>66</v>
      </c>
      <c r="C8" s="151"/>
      <c r="D8" s="151"/>
      <c r="E8" s="152"/>
      <c r="F8" s="155"/>
      <c r="G8" s="156"/>
      <c r="H8" s="156"/>
      <c r="I8" s="157"/>
      <c r="J8"/>
      <c r="K8"/>
    </row>
    <row r="9" spans="1:11" ht="25.5" thickTop="1" thickBot="1" x14ac:dyDescent="0.45">
      <c r="A9" s="4"/>
      <c r="B9" s="145" t="s">
        <v>145</v>
      </c>
      <c r="C9" s="146"/>
      <c r="D9" s="146"/>
      <c r="E9" s="147"/>
      <c r="F9" s="148" t="s">
        <v>40</v>
      </c>
      <c r="G9" s="149"/>
      <c r="H9" s="149"/>
      <c r="I9" s="149"/>
      <c r="J9"/>
      <c r="K9"/>
    </row>
    <row r="10" spans="1:11" ht="19.5" thickTop="1" thickBot="1" x14ac:dyDescent="0.3">
      <c r="A10" s="4"/>
      <c r="B10" s="132" t="s">
        <v>54</v>
      </c>
      <c r="C10" s="133"/>
      <c r="D10" s="133"/>
      <c r="E10" s="133"/>
      <c r="F10" s="133"/>
      <c r="G10" s="133"/>
      <c r="H10" s="134"/>
      <c r="I10" s="103">
        <v>45148</v>
      </c>
      <c r="J10"/>
      <c r="K10"/>
    </row>
    <row r="11" spans="1:11" ht="19.5" thickTop="1" thickBot="1" x14ac:dyDescent="0.3">
      <c r="A11" s="4"/>
      <c r="B11" s="136" t="s">
        <v>146</v>
      </c>
      <c r="C11" s="137"/>
      <c r="D11" s="137"/>
      <c r="E11" s="137"/>
      <c r="F11" s="137"/>
      <c r="G11" s="137"/>
      <c r="H11" s="138"/>
      <c r="I11" s="104">
        <v>39318.44</v>
      </c>
      <c r="J11"/>
      <c r="K11"/>
    </row>
    <row r="12" spans="1:11" ht="19.5" thickTop="1" thickBot="1" x14ac:dyDescent="0.3">
      <c r="A12" s="4"/>
      <c r="B12" s="132" t="s">
        <v>147</v>
      </c>
      <c r="C12" s="133"/>
      <c r="D12" s="133"/>
      <c r="E12" s="133"/>
      <c r="F12" s="133"/>
      <c r="G12" s="133"/>
      <c r="H12" s="134"/>
      <c r="I12" s="104">
        <v>6000</v>
      </c>
      <c r="J12"/>
      <c r="K12"/>
    </row>
    <row r="13" spans="1:11" ht="19.5" thickTop="1" thickBot="1" x14ac:dyDescent="0.3">
      <c r="A13" s="4"/>
      <c r="B13" s="132" t="s">
        <v>148</v>
      </c>
      <c r="C13" s="133"/>
      <c r="D13" s="133"/>
      <c r="E13" s="133"/>
      <c r="F13" s="133"/>
      <c r="G13" s="133"/>
      <c r="H13" s="134"/>
      <c r="I13" s="104"/>
      <c r="J13" s="104">
        <f>SUM(I11:I12)</f>
        <v>45318.44</v>
      </c>
      <c r="K13"/>
    </row>
    <row r="14" spans="1:11" ht="19.5" thickTop="1" thickBot="1" x14ac:dyDescent="0.3">
      <c r="A14" s="4"/>
      <c r="B14" s="132" t="s">
        <v>149</v>
      </c>
      <c r="C14" s="133"/>
      <c r="D14" s="133"/>
      <c r="E14" s="133"/>
      <c r="F14" s="133"/>
      <c r="G14" s="133"/>
      <c r="H14" s="134"/>
      <c r="I14" s="104">
        <v>206.13</v>
      </c>
      <c r="J14"/>
      <c r="K14"/>
    </row>
    <row r="15" spans="1:11" ht="19.5" thickTop="1" thickBot="1" x14ac:dyDescent="0.3">
      <c r="A15" s="4"/>
      <c r="B15" s="136" t="s">
        <v>150</v>
      </c>
      <c r="C15" s="137"/>
      <c r="D15" s="137"/>
      <c r="E15" s="137"/>
      <c r="F15" s="137"/>
      <c r="G15" s="137"/>
      <c r="H15" s="138"/>
      <c r="I15" s="104"/>
      <c r="J15"/>
      <c r="K15"/>
    </row>
    <row r="16" spans="1:11" ht="19.5" thickTop="1" thickBot="1" x14ac:dyDescent="0.3">
      <c r="A16" s="4"/>
      <c r="B16" s="136" t="s">
        <v>151</v>
      </c>
      <c r="C16" s="137"/>
      <c r="D16" s="137"/>
      <c r="E16" s="137"/>
      <c r="F16" s="137"/>
      <c r="G16" s="137"/>
      <c r="H16" s="138"/>
      <c r="I16" s="104"/>
      <c r="J16"/>
      <c r="K16"/>
    </row>
    <row r="17" spans="1:11" ht="19.5" thickTop="1" thickBot="1" x14ac:dyDescent="0.3">
      <c r="A17" s="4"/>
      <c r="B17" s="136"/>
      <c r="C17" s="137"/>
      <c r="D17" s="137"/>
      <c r="E17" s="137"/>
      <c r="F17" s="137"/>
      <c r="G17" s="137"/>
      <c r="H17" s="138"/>
      <c r="I17" s="104"/>
      <c r="J17"/>
      <c r="K17"/>
    </row>
    <row r="18" spans="1:11" ht="19.5" thickTop="1" thickBot="1" x14ac:dyDescent="0.3">
      <c r="A18" s="4"/>
      <c r="B18" s="142" t="s">
        <v>152</v>
      </c>
      <c r="C18" s="143"/>
      <c r="D18" s="143"/>
      <c r="E18" s="143"/>
      <c r="F18" s="143"/>
      <c r="G18" s="143"/>
      <c r="H18" s="144"/>
      <c r="I18" s="105">
        <f>SUM(I11:I17)</f>
        <v>45524.57</v>
      </c>
      <c r="J18"/>
      <c r="K18"/>
    </row>
    <row r="19" spans="1:11" ht="19.5" thickTop="1" thickBot="1" x14ac:dyDescent="0.3">
      <c r="A19" s="4"/>
      <c r="B19" s="136" t="s">
        <v>35</v>
      </c>
      <c r="C19" s="137"/>
      <c r="D19" s="137"/>
      <c r="E19" s="137"/>
      <c r="F19" s="137"/>
      <c r="G19" s="137"/>
      <c r="H19" s="138"/>
      <c r="I19" s="106">
        <v>72</v>
      </c>
      <c r="J19"/>
      <c r="K19"/>
    </row>
    <row r="20" spans="1:11" ht="19.5" thickTop="1" thickBot="1" x14ac:dyDescent="0.3">
      <c r="A20" s="4"/>
      <c r="B20" s="136" t="s">
        <v>153</v>
      </c>
      <c r="C20" s="137"/>
      <c r="D20" s="137"/>
      <c r="E20" s="137"/>
      <c r="F20" s="137"/>
      <c r="G20" s="137"/>
      <c r="H20" s="138"/>
      <c r="I20" s="107">
        <v>1221.3499999999999</v>
      </c>
      <c r="J20"/>
      <c r="K20"/>
    </row>
    <row r="21" spans="1:11" ht="19.5" thickTop="1" thickBot="1" x14ac:dyDescent="0.3">
      <c r="A21" s="4"/>
      <c r="B21" s="132" t="s">
        <v>154</v>
      </c>
      <c r="C21" s="133"/>
      <c r="D21" s="133"/>
      <c r="E21" s="133"/>
      <c r="F21" s="133"/>
      <c r="G21" s="133"/>
      <c r="H21" s="134"/>
      <c r="I21" s="108">
        <v>1.9699999999999999E-2</v>
      </c>
      <c r="J21"/>
      <c r="K21"/>
    </row>
    <row r="22" spans="1:11" ht="19.5" thickTop="1" thickBot="1" x14ac:dyDescent="0.3">
      <c r="A22" s="4"/>
      <c r="B22" s="139" t="s">
        <v>155</v>
      </c>
      <c r="C22" s="140"/>
      <c r="D22" s="140"/>
      <c r="E22" s="140"/>
      <c r="F22" s="140"/>
      <c r="G22" s="140"/>
      <c r="H22" s="141"/>
      <c r="I22" s="109">
        <v>45208</v>
      </c>
      <c r="J22"/>
      <c r="K22"/>
    </row>
    <row r="23" spans="1:11" ht="19.5" thickTop="1" thickBot="1" x14ac:dyDescent="0.3">
      <c r="A23" s="4"/>
      <c r="B23" s="132" t="s">
        <v>156</v>
      </c>
      <c r="C23" s="133"/>
      <c r="D23" s="133"/>
      <c r="E23" s="133"/>
      <c r="F23" s="133"/>
      <c r="G23" s="133"/>
      <c r="H23" s="134"/>
      <c r="I23" s="110">
        <v>2.0851286173794104E-2</v>
      </c>
      <c r="J23"/>
      <c r="K23"/>
    </row>
    <row r="24" spans="1:11" ht="19.5" thickTop="1" thickBot="1" x14ac:dyDescent="0.3">
      <c r="A24" s="4"/>
      <c r="B24" s="132" t="s">
        <v>157</v>
      </c>
      <c r="C24" s="133"/>
      <c r="D24" s="133"/>
      <c r="E24" s="133"/>
      <c r="F24" s="133"/>
      <c r="G24" s="133"/>
      <c r="H24" s="134"/>
      <c r="I24" s="111">
        <v>1183.2065436317491</v>
      </c>
      <c r="J24"/>
      <c r="K24"/>
    </row>
    <row r="25" spans="1:11" ht="17.25" thickTop="1" thickBot="1" x14ac:dyDescent="0.3">
      <c r="A25" s="4"/>
      <c r="B25" s="132" t="s">
        <v>158</v>
      </c>
      <c r="C25" s="133"/>
      <c r="D25" s="133"/>
      <c r="E25" s="133"/>
      <c r="F25" s="133"/>
      <c r="G25" s="133"/>
      <c r="H25" s="134"/>
      <c r="J25"/>
      <c r="K25"/>
    </row>
    <row r="26" spans="1:11" ht="19.5" thickTop="1" thickBot="1" x14ac:dyDescent="0.3">
      <c r="A26" s="4"/>
      <c r="B26" s="132" t="s">
        <v>159</v>
      </c>
      <c r="C26" s="133"/>
      <c r="D26" s="133"/>
      <c r="E26" s="133"/>
      <c r="F26" s="133"/>
      <c r="G26" s="133"/>
      <c r="H26" s="134"/>
      <c r="I26" s="112"/>
      <c r="J26"/>
      <c r="K26"/>
    </row>
    <row r="27" spans="1:11" ht="19.5" thickTop="1" thickBot="1" x14ac:dyDescent="0.3">
      <c r="A27" s="4"/>
      <c r="B27" s="132" t="s">
        <v>160</v>
      </c>
      <c r="C27" s="133"/>
      <c r="D27" s="133"/>
      <c r="E27" s="133"/>
      <c r="F27" s="133"/>
      <c r="G27" s="133"/>
      <c r="H27" s="134"/>
      <c r="I27" s="112">
        <v>36</v>
      </c>
      <c r="J27"/>
      <c r="K27"/>
    </row>
    <row r="28" spans="1:11" ht="19.5" thickTop="1" thickBot="1" x14ac:dyDescent="0.3">
      <c r="A28" s="4"/>
      <c r="B28" s="132" t="s">
        <v>161</v>
      </c>
      <c r="C28" s="133"/>
      <c r="D28" s="133"/>
      <c r="E28" s="133"/>
      <c r="F28" s="133"/>
      <c r="G28" s="133"/>
      <c r="H28" s="134"/>
      <c r="I28" s="112">
        <v>67</v>
      </c>
      <c r="J28"/>
      <c r="K28"/>
    </row>
    <row r="29" spans="1:11" ht="19.5" thickTop="1" thickBot="1" x14ac:dyDescent="0.3">
      <c r="A29" s="4"/>
      <c r="B29" s="132" t="s">
        <v>162</v>
      </c>
      <c r="C29" s="133"/>
      <c r="D29" s="133"/>
      <c r="E29" s="133"/>
      <c r="F29" s="133"/>
      <c r="G29" s="133"/>
      <c r="H29" s="134"/>
      <c r="I29" s="112">
        <f>I27*I20</f>
        <v>43968.6</v>
      </c>
      <c r="J29"/>
      <c r="K29"/>
    </row>
    <row r="30" spans="1:11" ht="19.5" thickTop="1" thickBot="1" x14ac:dyDescent="0.3">
      <c r="A30" s="4"/>
      <c r="B30" s="132" t="s">
        <v>163</v>
      </c>
      <c r="C30" s="133"/>
      <c r="D30" s="133"/>
      <c r="E30" s="133"/>
      <c r="F30" s="133"/>
      <c r="G30" s="133"/>
      <c r="H30" s="134"/>
      <c r="I30" s="112"/>
      <c r="J30"/>
      <c r="K30"/>
    </row>
    <row r="31" spans="1:11" ht="19.5" thickTop="1" thickBot="1" x14ac:dyDescent="0.3">
      <c r="A31" s="4"/>
      <c r="B31" s="132" t="s">
        <v>107</v>
      </c>
      <c r="C31" s="133"/>
      <c r="D31" s="133"/>
      <c r="E31" s="133"/>
      <c r="F31" s="133"/>
      <c r="G31" s="133"/>
      <c r="H31" s="134"/>
      <c r="I31" s="113"/>
      <c r="J31"/>
      <c r="K31"/>
    </row>
    <row r="32" spans="1:11" ht="19.5" thickTop="1" thickBot="1" x14ac:dyDescent="0.3">
      <c r="A32" s="4"/>
      <c r="B32" s="132" t="s">
        <v>63</v>
      </c>
      <c r="C32" s="133"/>
      <c r="D32" s="133"/>
      <c r="E32" s="133"/>
      <c r="F32" s="133"/>
      <c r="G32" s="133"/>
      <c r="H32" s="134"/>
      <c r="I32" s="113"/>
      <c r="J32"/>
      <c r="K32"/>
    </row>
    <row r="33" spans="1:11" ht="19.5" thickTop="1" thickBot="1" x14ac:dyDescent="0.3">
      <c r="A33" s="4"/>
      <c r="B33" s="132" t="s">
        <v>164</v>
      </c>
      <c r="C33" s="133"/>
      <c r="D33" s="133"/>
      <c r="E33" s="133"/>
      <c r="F33" s="133"/>
      <c r="G33" s="133"/>
      <c r="H33" s="134"/>
      <c r="I33" s="114">
        <v>0.20121951219512177</v>
      </c>
      <c r="J33">
        <v>0</v>
      </c>
      <c r="K33"/>
    </row>
    <row r="34" spans="1:11" ht="19.5" thickTop="1" thickBot="1" x14ac:dyDescent="0.3">
      <c r="A34" s="4"/>
      <c r="B34" s="132"/>
      <c r="C34" s="133"/>
      <c r="D34" s="133"/>
      <c r="E34" s="133"/>
      <c r="F34" s="133"/>
      <c r="G34" s="133"/>
      <c r="H34" s="134"/>
      <c r="I34" s="113"/>
      <c r="J34"/>
      <c r="K34"/>
    </row>
    <row r="35" spans="1:11" ht="19.5" thickTop="1" thickBot="1" x14ac:dyDescent="0.3">
      <c r="A35" s="4"/>
      <c r="B35" s="132"/>
      <c r="C35" s="133"/>
      <c r="D35" s="133"/>
      <c r="E35" s="133"/>
      <c r="F35" s="133"/>
      <c r="G35" s="133"/>
      <c r="H35" s="134"/>
      <c r="I35" s="113"/>
      <c r="J35"/>
      <c r="K35"/>
    </row>
    <row r="36" spans="1:11" ht="19.5" thickTop="1" thickBot="1" x14ac:dyDescent="0.3">
      <c r="A36" s="4"/>
      <c r="B36" s="132"/>
      <c r="C36" s="133"/>
      <c r="D36" s="133"/>
      <c r="E36" s="133"/>
      <c r="F36" s="133"/>
      <c r="G36" s="133"/>
      <c r="H36" s="134"/>
      <c r="I36" s="32"/>
      <c r="J36"/>
      <c r="K36"/>
    </row>
    <row r="37" spans="1:11" ht="25.5" thickTop="1" thickBot="1" x14ac:dyDescent="0.45">
      <c r="A37" s="4"/>
      <c r="B37" s="135" t="s">
        <v>109</v>
      </c>
      <c r="C37" s="135"/>
      <c r="D37" s="135"/>
      <c r="E37" s="135"/>
      <c r="F37" s="135"/>
      <c r="G37" s="135"/>
      <c r="H37" s="135"/>
      <c r="I37" s="135"/>
      <c r="J37"/>
      <c r="K37"/>
    </row>
    <row r="38" spans="1:11" ht="17.25" thickTop="1" thickBot="1" x14ac:dyDescent="0.3">
      <c r="A38" s="4"/>
      <c r="B38" s="130" t="s">
        <v>115</v>
      </c>
      <c r="C38" s="128"/>
      <c r="D38" s="128"/>
      <c r="E38" s="128"/>
      <c r="F38" s="128"/>
      <c r="G38" s="128"/>
      <c r="H38" s="129"/>
      <c r="I38" s="76">
        <v>1.6400000000000001E-2</v>
      </c>
      <c r="J38"/>
      <c r="K38"/>
    </row>
    <row r="39" spans="1:11" ht="17.25" thickTop="1" thickBot="1" x14ac:dyDescent="0.3">
      <c r="A39" s="4"/>
      <c r="B39" s="124" t="s">
        <v>110</v>
      </c>
      <c r="C39" s="125"/>
      <c r="D39" s="125"/>
      <c r="E39" s="125"/>
      <c r="F39" s="125"/>
      <c r="G39" s="125"/>
      <c r="H39" s="126"/>
      <c r="I39" s="77">
        <v>1077.1150463009665</v>
      </c>
      <c r="J39"/>
      <c r="K39"/>
    </row>
    <row r="40" spans="1:11" ht="17.25" thickTop="1" thickBot="1" x14ac:dyDescent="0.3">
      <c r="A40" s="4"/>
      <c r="B40" s="130" t="s">
        <v>111</v>
      </c>
      <c r="C40" s="128"/>
      <c r="D40" s="128"/>
      <c r="E40" s="128"/>
      <c r="F40" s="128"/>
      <c r="G40" s="128"/>
      <c r="H40" s="129"/>
      <c r="I40" s="77"/>
      <c r="J40"/>
      <c r="K40"/>
    </row>
    <row r="41" spans="1:11" ht="17.25" thickTop="1" thickBot="1" x14ac:dyDescent="0.3">
      <c r="A41" s="4"/>
      <c r="B41" s="124" t="s">
        <v>112</v>
      </c>
      <c r="C41" s="125"/>
      <c r="D41" s="125"/>
      <c r="E41" s="125"/>
      <c r="F41" s="125"/>
      <c r="G41" s="125"/>
      <c r="H41" s="126"/>
      <c r="I41" s="72"/>
      <c r="J41"/>
      <c r="K41"/>
    </row>
    <row r="42" spans="1:11" ht="17.25" thickTop="1" thickBot="1" x14ac:dyDescent="0.3">
      <c r="A42" s="4"/>
      <c r="B42" s="124" t="s">
        <v>113</v>
      </c>
      <c r="C42" s="125"/>
      <c r="D42" s="125"/>
      <c r="E42" s="125"/>
      <c r="F42" s="125"/>
      <c r="G42" s="125"/>
      <c r="H42" s="126"/>
      <c r="I42" s="72">
        <v>58</v>
      </c>
      <c r="J42"/>
      <c r="K42"/>
    </row>
    <row r="43" spans="1:11" ht="17.25" thickTop="1" thickBot="1" x14ac:dyDescent="0.3">
      <c r="A43" s="4"/>
      <c r="B43" s="124" t="s">
        <v>114</v>
      </c>
      <c r="C43" s="125"/>
      <c r="D43" s="125"/>
      <c r="E43" s="125"/>
      <c r="F43" s="125"/>
      <c r="G43" s="125"/>
      <c r="H43" s="126"/>
      <c r="I43" s="72"/>
      <c r="J43"/>
      <c r="K43"/>
    </row>
    <row r="44" spans="1:11" ht="17.25" thickTop="1" thickBot="1" x14ac:dyDescent="0.3">
      <c r="A44" s="4"/>
      <c r="B44" s="124" t="s">
        <v>107</v>
      </c>
      <c r="C44" s="125"/>
      <c r="D44" s="125"/>
      <c r="E44" s="125"/>
      <c r="F44" s="125"/>
      <c r="G44" s="125"/>
      <c r="H44" s="126"/>
      <c r="I44" s="72"/>
      <c r="J44"/>
      <c r="K44"/>
    </row>
    <row r="45" spans="1:11" ht="17.25" thickTop="1" thickBot="1" x14ac:dyDescent="0.3">
      <c r="A45" s="4"/>
      <c r="B45" s="127"/>
      <c r="C45" s="128"/>
      <c r="D45" s="128"/>
      <c r="E45" s="128"/>
      <c r="F45" s="128"/>
      <c r="G45" s="128"/>
      <c r="H45" s="129"/>
      <c r="I45" s="72"/>
      <c r="J45"/>
      <c r="K45"/>
    </row>
    <row r="46" spans="1:11" ht="17.25" thickTop="1" thickBot="1" x14ac:dyDescent="0.3">
      <c r="A46" s="4"/>
      <c r="B46" s="130"/>
      <c r="C46" s="128"/>
      <c r="D46" s="128"/>
      <c r="E46" s="128"/>
      <c r="F46" s="128"/>
      <c r="G46" s="128"/>
      <c r="H46" s="129"/>
      <c r="I46" s="72"/>
      <c r="J46"/>
      <c r="K46"/>
    </row>
    <row r="47" spans="1:11" ht="25.5" thickTop="1" thickBot="1" x14ac:dyDescent="0.45">
      <c r="A47" s="4"/>
      <c r="B47" s="131" t="s">
        <v>108</v>
      </c>
      <c r="C47" s="131"/>
      <c r="D47" s="131"/>
      <c r="E47" s="131"/>
      <c r="F47" s="131"/>
      <c r="G47" s="131"/>
      <c r="H47" s="131"/>
      <c r="I47" s="71"/>
      <c r="J47"/>
      <c r="K47"/>
    </row>
    <row r="48" spans="1:11" ht="17.25" thickTop="1" thickBot="1" x14ac:dyDescent="0.3">
      <c r="A48" s="4"/>
      <c r="B48" s="121" t="s">
        <v>116</v>
      </c>
      <c r="C48" s="122"/>
      <c r="D48" s="122"/>
      <c r="E48" s="122"/>
      <c r="F48" s="122"/>
      <c r="G48" s="122"/>
      <c r="H48" s="123"/>
      <c r="I48" s="78">
        <v>1.9699999999999999E-2</v>
      </c>
      <c r="J48"/>
      <c r="K48"/>
    </row>
    <row r="49" spans="1:11" ht="17.25" thickTop="1" thickBot="1" x14ac:dyDescent="0.3">
      <c r="A49" s="4"/>
      <c r="B49" s="115" t="s">
        <v>117</v>
      </c>
      <c r="C49" s="116"/>
      <c r="D49" s="116"/>
      <c r="E49" s="116"/>
      <c r="F49" s="116"/>
      <c r="G49" s="116"/>
      <c r="H49" s="117"/>
      <c r="I49" s="70"/>
      <c r="J49"/>
      <c r="K49"/>
    </row>
    <row r="50" spans="1:11" ht="17.25" thickTop="1" thickBot="1" x14ac:dyDescent="0.3">
      <c r="A50" s="4"/>
      <c r="B50" s="121" t="s">
        <v>118</v>
      </c>
      <c r="C50" s="122"/>
      <c r="D50" s="122"/>
      <c r="E50" s="122"/>
      <c r="F50" s="122"/>
      <c r="G50" s="122"/>
      <c r="H50" s="123"/>
      <c r="I50" s="70"/>
      <c r="J50"/>
      <c r="K50"/>
    </row>
    <row r="51" spans="1:11" ht="17.25" thickTop="1" thickBot="1" x14ac:dyDescent="0.3">
      <c r="A51" s="4"/>
      <c r="B51" s="115" t="s">
        <v>119</v>
      </c>
      <c r="C51" s="116"/>
      <c r="D51" s="116"/>
      <c r="E51" s="116"/>
      <c r="F51" s="116"/>
      <c r="G51" s="116"/>
      <c r="H51" s="117"/>
      <c r="I51" s="70"/>
      <c r="J51"/>
      <c r="K51"/>
    </row>
    <row r="52" spans="1:11" ht="17.25" thickTop="1" thickBot="1" x14ac:dyDescent="0.3">
      <c r="A52" s="4"/>
      <c r="B52" s="115" t="s">
        <v>120</v>
      </c>
      <c r="C52" s="116"/>
      <c r="D52" s="116"/>
      <c r="E52" s="116"/>
      <c r="F52" s="116"/>
      <c r="G52" s="116"/>
      <c r="H52" s="117"/>
      <c r="I52" s="70">
        <v>67</v>
      </c>
      <c r="J52"/>
      <c r="K52"/>
    </row>
    <row r="53" spans="1:11" ht="17.25" thickTop="1" thickBot="1" x14ac:dyDescent="0.3">
      <c r="A53" s="4"/>
      <c r="B53" s="115" t="s">
        <v>121</v>
      </c>
      <c r="C53" s="116"/>
      <c r="D53" s="116"/>
      <c r="E53" s="116"/>
      <c r="F53" s="116"/>
      <c r="G53" s="116"/>
      <c r="H53" s="117"/>
      <c r="I53" s="70"/>
      <c r="J53"/>
      <c r="K53"/>
    </row>
    <row r="54" spans="1:11" ht="17.25" thickTop="1" thickBot="1" x14ac:dyDescent="0.3">
      <c r="A54" s="4"/>
      <c r="B54" s="115" t="s">
        <v>122</v>
      </c>
      <c r="C54" s="116"/>
      <c r="D54" s="116"/>
      <c r="E54" s="116"/>
      <c r="F54" s="116"/>
      <c r="G54" s="116"/>
      <c r="H54" s="117"/>
      <c r="I54" s="70"/>
      <c r="J54"/>
      <c r="K54"/>
    </row>
    <row r="55" spans="1:11" ht="17.25" thickTop="1" thickBot="1" x14ac:dyDescent="0.3">
      <c r="A55" s="4"/>
      <c r="B55" s="115" t="s">
        <v>107</v>
      </c>
      <c r="C55" s="116"/>
      <c r="D55" s="116"/>
      <c r="E55" s="116"/>
      <c r="F55" s="116"/>
      <c r="G55" s="116"/>
      <c r="H55" s="117"/>
      <c r="I55" s="70"/>
      <c r="J55"/>
      <c r="K55"/>
    </row>
    <row r="56" spans="1:11" ht="17.25" thickTop="1" thickBot="1" x14ac:dyDescent="0.3">
      <c r="A56" s="4"/>
      <c r="B56" s="115"/>
      <c r="C56" s="116"/>
      <c r="D56" s="116"/>
      <c r="E56" s="116"/>
      <c r="F56" s="116"/>
      <c r="G56" s="116"/>
      <c r="H56" s="117"/>
      <c r="I56" s="70"/>
      <c r="J56"/>
      <c r="K56" s="34"/>
    </row>
    <row r="57" spans="1:11" ht="15.75" thickTop="1" x14ac:dyDescent="0.25">
      <c r="A57"/>
      <c r="B57"/>
      <c r="C57"/>
      <c r="D57"/>
      <c r="E57"/>
      <c r="F57"/>
      <c r="G57"/>
      <c r="H57"/>
      <c r="I57"/>
      <c r="J57"/>
      <c r="K57"/>
    </row>
    <row r="58" spans="1:11" x14ac:dyDescent="0.25">
      <c r="A58"/>
      <c r="B58"/>
      <c r="C58"/>
      <c r="D58"/>
      <c r="E58"/>
      <c r="F58"/>
      <c r="G58"/>
      <c r="H58"/>
      <c r="I58"/>
      <c r="J58"/>
      <c r="K58"/>
    </row>
    <row r="59" spans="1:11" x14ac:dyDescent="0.25">
      <c r="A59"/>
      <c r="B59"/>
      <c r="C59"/>
      <c r="D59"/>
      <c r="E59"/>
      <c r="F59"/>
      <c r="G59"/>
      <c r="H59"/>
      <c r="I59"/>
      <c r="J59"/>
      <c r="K59"/>
    </row>
    <row r="60" spans="1:11" x14ac:dyDescent="0.25">
      <c r="A60"/>
      <c r="B60"/>
      <c r="C60"/>
      <c r="D60"/>
      <c r="E60"/>
      <c r="F60"/>
      <c r="G60"/>
      <c r="H60"/>
      <c r="I60"/>
      <c r="J60"/>
      <c r="K60"/>
    </row>
    <row r="61" spans="1:11" x14ac:dyDescent="0.25">
      <c r="A61"/>
      <c r="B61"/>
      <c r="C61"/>
      <c r="D61"/>
      <c r="E61"/>
      <c r="F61"/>
      <c r="G61"/>
      <c r="H61"/>
      <c r="I61"/>
      <c r="J61"/>
      <c r="K61"/>
    </row>
    <row r="62" spans="1:11" x14ac:dyDescent="0.25">
      <c r="A62"/>
      <c r="B62"/>
      <c r="C62"/>
      <c r="D62"/>
      <c r="E62"/>
      <c r="F62"/>
      <c r="G62"/>
      <c r="H62"/>
      <c r="I62"/>
      <c r="J62"/>
      <c r="K62"/>
    </row>
    <row r="63" spans="1:11" x14ac:dyDescent="0.25">
      <c r="A63"/>
      <c r="B63"/>
      <c r="C63"/>
      <c r="D63"/>
      <c r="E63"/>
      <c r="F63"/>
      <c r="G63"/>
      <c r="H63"/>
      <c r="I63"/>
      <c r="J63"/>
      <c r="K63"/>
    </row>
    <row r="64" spans="1:11" x14ac:dyDescent="0.25">
      <c r="A64"/>
      <c r="B64"/>
      <c r="C64"/>
      <c r="D64"/>
      <c r="E64"/>
      <c r="F64"/>
      <c r="G64"/>
      <c r="H64"/>
      <c r="I64"/>
      <c r="J64"/>
      <c r="K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</sheetData>
  <mergeCells count="62">
    <mergeCell ref="B2:I2"/>
    <mergeCell ref="B3:E3"/>
    <mergeCell ref="F3:I3"/>
    <mergeCell ref="B5:E5"/>
    <mergeCell ref="F5:G5"/>
    <mergeCell ref="B13:H13"/>
    <mergeCell ref="B6:E6"/>
    <mergeCell ref="F6:I6"/>
    <mergeCell ref="B7:E7"/>
    <mergeCell ref="F7:I7"/>
    <mergeCell ref="B8:E8"/>
    <mergeCell ref="F8:I8"/>
    <mergeCell ref="B9:E9"/>
    <mergeCell ref="F9:I9"/>
    <mergeCell ref="B10:H10"/>
    <mergeCell ref="B11:H11"/>
    <mergeCell ref="B12:H12"/>
    <mergeCell ref="B25:H25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37:I37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9:H39"/>
    <mergeCell ref="B40:H40"/>
    <mergeCell ref="B41:H41"/>
    <mergeCell ref="B42:H42"/>
    <mergeCell ref="B43:H43"/>
    <mergeCell ref="B56:H56"/>
    <mergeCell ref="B4:E4"/>
    <mergeCell ref="F4:I4"/>
    <mergeCell ref="B50:H50"/>
    <mergeCell ref="B51:H51"/>
    <mergeCell ref="B52:H52"/>
    <mergeCell ref="B53:H53"/>
    <mergeCell ref="B54:H54"/>
    <mergeCell ref="B55:H55"/>
    <mergeCell ref="B44:H44"/>
    <mergeCell ref="B45:H45"/>
    <mergeCell ref="B46:H46"/>
    <mergeCell ref="B47:H47"/>
    <mergeCell ref="B48:H48"/>
    <mergeCell ref="B49:H49"/>
    <mergeCell ref="B38:H38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A164-EF75-4D9A-B2FF-30861703C393}">
  <dimension ref="A1:L56"/>
  <sheetViews>
    <sheetView topLeftCell="A6" zoomScale="170" zoomScaleNormal="170" workbookViewId="0">
      <selection activeCell="J13" sqref="J13"/>
    </sheetView>
  </sheetViews>
  <sheetFormatPr defaultRowHeight="15" x14ac:dyDescent="0.25"/>
  <cols>
    <col min="1" max="1" width="1.7109375" style="3" customWidth="1"/>
    <col min="2" max="2" width="13.28515625" style="3" customWidth="1"/>
    <col min="3" max="3" width="11.140625" style="3" customWidth="1"/>
    <col min="4" max="4" width="13.28515625" style="3" customWidth="1"/>
    <col min="5" max="5" width="10.28515625" style="3" customWidth="1"/>
    <col min="6" max="6" width="9.140625" style="3"/>
    <col min="7" max="7" width="5.7109375" customWidth="1"/>
    <col min="8" max="8" width="13.28515625" style="3" customWidth="1"/>
    <col min="9" max="9" width="11.140625" style="3" customWidth="1"/>
    <col min="10" max="10" width="13.28515625" style="3" customWidth="1"/>
    <col min="11" max="11" width="10.28515625" style="3" customWidth="1"/>
    <col min="12" max="12" width="9.140625" style="3"/>
  </cols>
  <sheetData>
    <row r="1" spans="1:12" ht="15.75" thickBot="1" x14ac:dyDescent="0.3"/>
    <row r="2" spans="1:12" ht="17.25" thickTop="1" thickBot="1" x14ac:dyDescent="0.35">
      <c r="B2" s="174" t="s">
        <v>138</v>
      </c>
      <c r="C2" s="174"/>
      <c r="D2" s="174"/>
      <c r="E2" s="174"/>
      <c r="F2" s="174"/>
      <c r="H2" s="174" t="s">
        <v>137</v>
      </c>
      <c r="I2" s="174"/>
      <c r="J2" s="174"/>
      <c r="K2" s="174"/>
      <c r="L2" s="174"/>
    </row>
    <row r="3" spans="1:12" ht="16.5" thickTop="1" thickBot="1" x14ac:dyDescent="0.3">
      <c r="A3" s="1"/>
      <c r="B3" s="167" t="s">
        <v>36</v>
      </c>
      <c r="C3" s="169" t="s">
        <v>27</v>
      </c>
      <c r="D3" s="169"/>
      <c r="E3" s="169" t="s">
        <v>37</v>
      </c>
      <c r="F3" s="169"/>
      <c r="H3" s="167" t="s">
        <v>36</v>
      </c>
      <c r="I3" s="169" t="s">
        <v>27</v>
      </c>
      <c r="J3" s="169"/>
      <c r="K3" s="169" t="s">
        <v>136</v>
      </c>
      <c r="L3" s="169"/>
    </row>
    <row r="4" spans="1:12" ht="16.5" thickTop="1" thickBot="1" x14ac:dyDescent="0.3">
      <c r="A4" s="1"/>
      <c r="B4" s="168"/>
      <c r="C4" s="173">
        <f>'DADOS APLICAÇÃO CALCULO'!F5</f>
        <v>45148</v>
      </c>
      <c r="D4" s="173"/>
      <c r="E4" s="173">
        <v>46122</v>
      </c>
      <c r="F4" s="173"/>
      <c r="H4" s="168"/>
      <c r="I4" s="173">
        <f>C4</f>
        <v>45148</v>
      </c>
      <c r="J4" s="173"/>
      <c r="K4" s="173">
        <v>46264</v>
      </c>
      <c r="L4" s="173"/>
    </row>
    <row r="5" spans="1:12" ht="16.5" thickTop="1" thickBot="1" x14ac:dyDescent="0.3">
      <c r="A5" s="1"/>
      <c r="B5" s="168"/>
      <c r="C5" s="7" t="s">
        <v>28</v>
      </c>
      <c r="D5" s="7" t="s">
        <v>29</v>
      </c>
      <c r="E5" s="7" t="s">
        <v>30</v>
      </c>
      <c r="F5" s="6"/>
      <c r="H5" s="168"/>
      <c r="I5" s="7" t="s">
        <v>28</v>
      </c>
      <c r="J5" s="7" t="s">
        <v>29</v>
      </c>
      <c r="K5" s="7" t="s">
        <v>30</v>
      </c>
      <c r="L5" s="6"/>
    </row>
    <row r="6" spans="1:12" ht="16.5" thickTop="1" thickBot="1" x14ac:dyDescent="0.3">
      <c r="A6" s="1"/>
      <c r="B6" s="168"/>
      <c r="C6" s="24">
        <f>DATEDIF(C4,E4,"Y")</f>
        <v>2</v>
      </c>
      <c r="D6" s="24">
        <f>DATEDIF(C4,E4,"YM")</f>
        <v>8</v>
      </c>
      <c r="E6" s="24">
        <f>DATEDIF(C4,E4,"MD")</f>
        <v>0</v>
      </c>
      <c r="F6" s="6"/>
      <c r="H6" s="168"/>
      <c r="I6" s="24">
        <f>DATEDIF(I4,K4,"Y")</f>
        <v>3</v>
      </c>
      <c r="J6" s="24">
        <f>DATEDIF(I4,K4,"YM")</f>
        <v>0</v>
      </c>
      <c r="K6" s="24">
        <f>DATEDIF(I4,K4,"MD")</f>
        <v>20</v>
      </c>
      <c r="L6" s="6"/>
    </row>
    <row r="7" spans="1:12" ht="16.5" thickTop="1" thickBot="1" x14ac:dyDescent="0.3">
      <c r="A7" s="1"/>
      <c r="B7" s="6"/>
      <c r="C7" s="6"/>
      <c r="D7" s="10" t="s">
        <v>31</v>
      </c>
      <c r="E7" s="6"/>
      <c r="F7" s="6"/>
      <c r="H7" s="6"/>
      <c r="I7" s="6"/>
      <c r="J7" s="10" t="s">
        <v>31</v>
      </c>
      <c r="K7" s="6"/>
      <c r="L7" s="6"/>
    </row>
    <row r="8" spans="1:12" ht="16.5" thickTop="1" thickBot="1" x14ac:dyDescent="0.3">
      <c r="A8" s="1"/>
      <c r="B8" s="6"/>
      <c r="C8" s="6"/>
      <c r="D8" s="11">
        <f>(C6*12)+D6</f>
        <v>32</v>
      </c>
      <c r="E8" s="6"/>
      <c r="F8" s="6"/>
      <c r="H8" s="6"/>
      <c r="I8" s="6"/>
      <c r="J8" s="11">
        <f>(I6*12)+J6</f>
        <v>36</v>
      </c>
      <c r="K8" s="6"/>
      <c r="L8" s="6"/>
    </row>
    <row r="9" spans="1:12" ht="16.5" thickTop="1" thickBot="1" x14ac:dyDescent="0.3">
      <c r="A9" s="1"/>
      <c r="B9" s="167" t="s">
        <v>38</v>
      </c>
      <c r="C9" s="169" t="s">
        <v>35</v>
      </c>
      <c r="D9" s="169"/>
      <c r="E9" s="169"/>
      <c r="F9" s="8">
        <v>72</v>
      </c>
      <c r="G9" s="9"/>
      <c r="H9"/>
      <c r="I9"/>
      <c r="J9"/>
      <c r="K9"/>
      <c r="L9"/>
    </row>
    <row r="10" spans="1:12" ht="16.5" thickTop="1" thickBot="1" x14ac:dyDescent="0.3">
      <c r="A10"/>
      <c r="B10" s="168"/>
      <c r="C10" s="170" t="s">
        <v>32</v>
      </c>
      <c r="D10" s="170"/>
      <c r="E10" s="170"/>
      <c r="F10" s="170"/>
      <c r="H10"/>
      <c r="I10"/>
      <c r="J10"/>
      <c r="K10"/>
      <c r="L10"/>
    </row>
    <row r="11" spans="1:12" ht="16.5" thickTop="1" thickBot="1" x14ac:dyDescent="0.3">
      <c r="A11"/>
      <c r="B11" s="168"/>
      <c r="C11" s="169" t="s">
        <v>33</v>
      </c>
      <c r="D11" s="169"/>
      <c r="E11" s="169" t="s">
        <v>34</v>
      </c>
      <c r="F11" s="169"/>
      <c r="H11"/>
      <c r="I11"/>
      <c r="J11"/>
      <c r="K11"/>
      <c r="L11"/>
    </row>
    <row r="12" spans="1:12" ht="16.5" thickTop="1" thickBot="1" x14ac:dyDescent="0.3">
      <c r="A12"/>
      <c r="B12" s="168"/>
      <c r="C12" s="173">
        <f>C4</f>
        <v>45148</v>
      </c>
      <c r="D12" s="173"/>
      <c r="E12" s="178">
        <f>EDATE(C12,F9)</f>
        <v>47340</v>
      </c>
      <c r="F12" s="178"/>
      <c r="H12"/>
      <c r="I12"/>
      <c r="J12"/>
      <c r="K12"/>
      <c r="L12"/>
    </row>
    <row r="13" spans="1:12" ht="15.75" thickTop="1" x14ac:dyDescent="0.25">
      <c r="A13"/>
      <c r="B13" s="35"/>
      <c r="C13" s="36"/>
      <c r="D13" s="36"/>
      <c r="E13" s="36"/>
      <c r="F13" s="36"/>
      <c r="H13"/>
      <c r="I13"/>
      <c r="J13"/>
      <c r="K13"/>
      <c r="L13"/>
    </row>
    <row r="14" spans="1:12" ht="15.75" thickBot="1" x14ac:dyDescent="0.3">
      <c r="A14"/>
      <c r="B14" s="35"/>
      <c r="C14" s="36"/>
      <c r="D14" s="36"/>
      <c r="E14" s="36"/>
      <c r="F14" s="36"/>
      <c r="H14"/>
      <c r="I14"/>
      <c r="K14"/>
      <c r="L14"/>
    </row>
    <row r="15" spans="1:12" ht="20.25" thickTop="1" thickBot="1" x14ac:dyDescent="0.35">
      <c r="A15"/>
      <c r="B15" s="171" t="s">
        <v>64</v>
      </c>
      <c r="C15" s="171"/>
      <c r="D15" s="171"/>
      <c r="E15" s="171"/>
      <c r="F15" s="171"/>
      <c r="H15"/>
      <c r="I15"/>
      <c r="J15"/>
      <c r="K15"/>
      <c r="L15"/>
    </row>
    <row r="16" spans="1:12" ht="16.5" thickTop="1" thickBot="1" x14ac:dyDescent="0.3">
      <c r="A16"/>
      <c r="B16" s="172" t="s">
        <v>61</v>
      </c>
      <c r="C16" s="172"/>
      <c r="D16" s="172"/>
      <c r="E16" s="172"/>
      <c r="F16" s="172"/>
      <c r="H16"/>
      <c r="I16"/>
      <c r="J16"/>
      <c r="K16"/>
      <c r="L16"/>
    </row>
    <row r="17" spans="1:12" ht="16.5" thickTop="1" thickBot="1" x14ac:dyDescent="0.3">
      <c r="A17" s="1"/>
      <c r="B17" s="167" t="s">
        <v>62</v>
      </c>
      <c r="C17" s="169" t="s">
        <v>27</v>
      </c>
      <c r="D17" s="169"/>
      <c r="E17" s="175" t="s">
        <v>63</v>
      </c>
      <c r="F17" s="176"/>
      <c r="G17" s="177"/>
      <c r="H17"/>
      <c r="I17"/>
      <c r="J17"/>
      <c r="K17"/>
      <c r="L17"/>
    </row>
    <row r="18" spans="1:12" ht="16.5" thickTop="1" thickBot="1" x14ac:dyDescent="0.3">
      <c r="A18" s="1"/>
      <c r="B18" s="168"/>
      <c r="C18" s="173">
        <f>C4</f>
        <v>45148</v>
      </c>
      <c r="D18" s="173"/>
      <c r="E18" s="173">
        <v>46122</v>
      </c>
      <c r="F18" s="173"/>
      <c r="G18" s="173"/>
      <c r="H18"/>
      <c r="I18"/>
      <c r="J18"/>
      <c r="K18"/>
      <c r="L18"/>
    </row>
    <row r="19" spans="1:12" ht="16.5" thickTop="1" thickBot="1" x14ac:dyDescent="0.3">
      <c r="A19" s="1"/>
      <c r="B19" s="168"/>
      <c r="C19" s="7" t="s">
        <v>28</v>
      </c>
      <c r="D19" s="7" t="s">
        <v>29</v>
      </c>
      <c r="E19" s="7" t="s">
        <v>30</v>
      </c>
      <c r="F19" s="6"/>
      <c r="H19"/>
      <c r="I19"/>
      <c r="J19"/>
      <c r="K19"/>
      <c r="L19"/>
    </row>
    <row r="20" spans="1:12" ht="16.5" thickTop="1" thickBot="1" x14ac:dyDescent="0.3">
      <c r="A20" s="1"/>
      <c r="B20" s="168"/>
      <c r="C20" s="24">
        <f>DATEDIF(C18,E18,"Y")</f>
        <v>2</v>
      </c>
      <c r="D20" s="24">
        <f>DATEDIF(C18,E18,"YM")</f>
        <v>8</v>
      </c>
      <c r="E20" s="24">
        <f>DATEDIF(C18,E18,"MD")</f>
        <v>0</v>
      </c>
      <c r="F20" s="6"/>
      <c r="H20"/>
      <c r="I20"/>
      <c r="J20"/>
      <c r="K20"/>
      <c r="L20"/>
    </row>
    <row r="21" spans="1:12" ht="16.5" thickTop="1" thickBot="1" x14ac:dyDescent="0.3">
      <c r="A21" s="1"/>
      <c r="B21" s="6"/>
      <c r="C21" s="6"/>
      <c r="D21" s="10" t="s">
        <v>31</v>
      </c>
      <c r="E21" s="6"/>
      <c r="F21" s="6"/>
      <c r="H21"/>
      <c r="I21"/>
      <c r="J21"/>
      <c r="K21"/>
      <c r="L21"/>
    </row>
    <row r="22" spans="1:12" ht="16.5" thickTop="1" thickBot="1" x14ac:dyDescent="0.3">
      <c r="A22" s="1"/>
      <c r="B22" s="6"/>
      <c r="C22" s="6"/>
      <c r="D22" s="11">
        <f>(C20*12)+D20</f>
        <v>32</v>
      </c>
      <c r="E22" s="6"/>
      <c r="F22" s="6"/>
      <c r="H22"/>
      <c r="I22"/>
      <c r="J22"/>
      <c r="K22"/>
      <c r="L22"/>
    </row>
    <row r="23" spans="1:12" ht="15.75" thickTop="1" x14ac:dyDescent="0.25">
      <c r="A23"/>
      <c r="B23"/>
      <c r="C23"/>
      <c r="D23"/>
      <c r="E23"/>
      <c r="F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H32"/>
      <c r="I32"/>
      <c r="J32"/>
      <c r="K32"/>
      <c r="L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</sheetData>
  <mergeCells count="26">
    <mergeCell ref="H2:L2"/>
    <mergeCell ref="B2:F2"/>
    <mergeCell ref="E18:G18"/>
    <mergeCell ref="E17:G17"/>
    <mergeCell ref="H3:H6"/>
    <mergeCell ref="I3:J3"/>
    <mergeCell ref="K3:L3"/>
    <mergeCell ref="I4:J4"/>
    <mergeCell ref="K4:L4"/>
    <mergeCell ref="B3:B6"/>
    <mergeCell ref="C3:D3"/>
    <mergeCell ref="E3:F3"/>
    <mergeCell ref="C4:D4"/>
    <mergeCell ref="E4:F4"/>
    <mergeCell ref="C12:D12"/>
    <mergeCell ref="E12:F12"/>
    <mergeCell ref="B15:F15"/>
    <mergeCell ref="B16:F16"/>
    <mergeCell ref="B17:B20"/>
    <mergeCell ref="C17:D17"/>
    <mergeCell ref="C18:D18"/>
    <mergeCell ref="B9:B12"/>
    <mergeCell ref="C9:E9"/>
    <mergeCell ref="C10:F10"/>
    <mergeCell ref="C11:D11"/>
    <mergeCell ref="E11:F11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CCBC-372E-45B6-9A41-954BC9A3A544}">
  <dimension ref="B1:J47"/>
  <sheetViews>
    <sheetView topLeftCell="A28" workbookViewId="0">
      <selection activeCell="F54" sqref="F54"/>
    </sheetView>
  </sheetViews>
  <sheetFormatPr defaultRowHeight="15" x14ac:dyDescent="0.25"/>
  <cols>
    <col min="1" max="1" width="3.28515625" customWidth="1"/>
    <col min="2" max="2" width="11.28515625" customWidth="1"/>
    <col min="3" max="3" width="15.5703125" customWidth="1"/>
    <col min="4" max="4" width="35.85546875" customWidth="1"/>
    <col min="5" max="5" width="11.85546875" customWidth="1"/>
    <col min="6" max="6" width="19.5703125" customWidth="1"/>
  </cols>
  <sheetData>
    <row r="1" spans="2:10" ht="15.75" thickBot="1" x14ac:dyDescent="0.3"/>
    <row r="2" spans="2:10" ht="21.75" thickTop="1" thickBot="1" x14ac:dyDescent="0.35">
      <c r="B2" s="162" t="s">
        <v>15</v>
      </c>
      <c r="C2" s="162"/>
      <c r="D2" s="162"/>
      <c r="E2" s="162"/>
      <c r="F2" s="162"/>
    </row>
    <row r="3" spans="2:10" ht="21.75" thickTop="1" thickBot="1" x14ac:dyDescent="0.35">
      <c r="B3" s="163" t="s">
        <v>16</v>
      </c>
      <c r="C3" s="163"/>
      <c r="D3" s="164" t="s">
        <v>17</v>
      </c>
      <c r="E3" s="164"/>
      <c r="F3" s="164"/>
    </row>
    <row r="4" spans="2:10" ht="21.75" thickTop="1" thickBot="1" x14ac:dyDescent="0.35">
      <c r="B4" s="163" t="s">
        <v>18</v>
      </c>
      <c r="C4" s="163"/>
      <c r="D4" s="79">
        <v>45148</v>
      </c>
      <c r="E4" s="80" t="s">
        <v>56</v>
      </c>
      <c r="F4" s="81">
        <v>42387</v>
      </c>
    </row>
    <row r="5" spans="2:10" ht="19.5" thickTop="1" thickBot="1" x14ac:dyDescent="0.3">
      <c r="B5" s="165" t="s">
        <v>19</v>
      </c>
      <c r="C5" s="165"/>
      <c r="D5" s="166" t="s">
        <v>20</v>
      </c>
      <c r="E5" s="166"/>
      <c r="F5" s="166"/>
    </row>
    <row r="6" spans="2:10" ht="16.5" thickTop="1" thickBot="1" x14ac:dyDescent="0.3">
      <c r="B6" s="26" t="s">
        <v>21</v>
      </c>
      <c r="C6" s="26" t="s">
        <v>22</v>
      </c>
      <c r="D6" s="26" t="s">
        <v>23</v>
      </c>
      <c r="E6" s="26" t="s">
        <v>24</v>
      </c>
      <c r="F6" s="26" t="s">
        <v>25</v>
      </c>
    </row>
    <row r="7" spans="2:10" ht="16.5" thickTop="1" thickBot="1" x14ac:dyDescent="0.3">
      <c r="B7" s="74"/>
      <c r="C7" s="74"/>
      <c r="D7" s="74"/>
      <c r="E7" s="74"/>
      <c r="F7" s="74"/>
    </row>
    <row r="8" spans="2:10" ht="18.75" thickTop="1" thickBot="1" x14ac:dyDescent="0.3">
      <c r="B8" s="27">
        <v>1</v>
      </c>
      <c r="C8" s="27">
        <v>2038232</v>
      </c>
      <c r="D8" s="28" t="s">
        <v>71</v>
      </c>
      <c r="E8" s="29">
        <v>1.4</v>
      </c>
      <c r="F8" s="29">
        <v>18.170000000000002</v>
      </c>
    </row>
    <row r="9" spans="2:10" ht="36" thickTop="1" thickBot="1" x14ac:dyDescent="0.3">
      <c r="B9" s="27">
        <v>2</v>
      </c>
      <c r="C9" s="27">
        <v>17167412</v>
      </c>
      <c r="D9" s="28" t="s">
        <v>70</v>
      </c>
      <c r="E9" s="29">
        <v>1.48</v>
      </c>
      <c r="F9" s="29">
        <v>19.28</v>
      </c>
    </row>
    <row r="10" spans="2:10" ht="18.75" thickTop="1" thickBot="1" x14ac:dyDescent="0.3">
      <c r="B10" s="27">
        <v>3</v>
      </c>
      <c r="C10" s="27">
        <v>33136888</v>
      </c>
      <c r="D10" s="28" t="s">
        <v>124</v>
      </c>
      <c r="E10" s="29">
        <v>1.5</v>
      </c>
      <c r="F10" s="29">
        <v>19.559999999999999</v>
      </c>
    </row>
    <row r="11" spans="2:10" ht="36" thickTop="1" thickBot="1" x14ac:dyDescent="0.3">
      <c r="B11" s="27">
        <v>4</v>
      </c>
      <c r="C11" s="27">
        <v>92702067</v>
      </c>
      <c r="D11" s="28" t="s">
        <v>69</v>
      </c>
      <c r="E11" s="29">
        <v>1.51</v>
      </c>
      <c r="F11" s="29">
        <v>19.670000000000002</v>
      </c>
    </row>
    <row r="12" spans="2:10" ht="18.75" thickTop="1" thickBot="1" x14ac:dyDescent="0.3">
      <c r="B12" s="27">
        <v>5</v>
      </c>
      <c r="C12" s="27">
        <v>416968</v>
      </c>
      <c r="D12" s="28" t="s">
        <v>67</v>
      </c>
      <c r="E12" s="29">
        <v>1.52</v>
      </c>
      <c r="F12" s="29">
        <v>19.79</v>
      </c>
    </row>
    <row r="13" spans="2:10" ht="36" thickTop="1" thickBot="1" x14ac:dyDescent="0.3">
      <c r="B13" s="27">
        <v>6</v>
      </c>
      <c r="C13" s="27">
        <v>1181521</v>
      </c>
      <c r="D13" s="28" t="s">
        <v>125</v>
      </c>
      <c r="E13" s="29">
        <v>1.53</v>
      </c>
      <c r="F13" s="29">
        <v>19.920000000000002</v>
      </c>
      <c r="J13" s="73"/>
    </row>
    <row r="14" spans="2:10" ht="18.75" thickTop="1" thickBot="1" x14ac:dyDescent="0.3">
      <c r="B14" s="27">
        <v>7</v>
      </c>
      <c r="C14" s="27">
        <v>4902979</v>
      </c>
      <c r="D14" s="28" t="s">
        <v>68</v>
      </c>
      <c r="E14" s="29">
        <v>1.56</v>
      </c>
      <c r="F14" s="29">
        <v>20.440000000000001</v>
      </c>
    </row>
    <row r="15" spans="2:10" ht="36" thickTop="1" thickBot="1" x14ac:dyDescent="0.3">
      <c r="B15" s="27">
        <v>8</v>
      </c>
      <c r="C15" s="27">
        <v>360305</v>
      </c>
      <c r="D15" s="28" t="s">
        <v>73</v>
      </c>
      <c r="E15" s="29">
        <v>1.61</v>
      </c>
      <c r="F15" s="29">
        <v>21.09</v>
      </c>
    </row>
    <row r="16" spans="2:10" ht="18.75" thickTop="1" thickBot="1" x14ac:dyDescent="0.3">
      <c r="B16" s="27">
        <v>9</v>
      </c>
      <c r="C16" s="27">
        <v>3311443</v>
      </c>
      <c r="D16" s="28" t="s">
        <v>76</v>
      </c>
      <c r="E16" s="29">
        <v>1.63</v>
      </c>
      <c r="F16" s="29">
        <v>21.42</v>
      </c>
    </row>
    <row r="17" spans="2:6" ht="18.75" thickTop="1" thickBot="1" x14ac:dyDescent="0.3">
      <c r="B17" s="27">
        <v>10</v>
      </c>
      <c r="C17" s="27">
        <v>62232889</v>
      </c>
      <c r="D17" s="28" t="s">
        <v>72</v>
      </c>
      <c r="E17" s="29">
        <v>1.71</v>
      </c>
      <c r="F17" s="29">
        <v>22.51</v>
      </c>
    </row>
    <row r="18" spans="2:6" ht="18.75" thickTop="1" thickBot="1" x14ac:dyDescent="0.3">
      <c r="B18" s="27">
        <v>11</v>
      </c>
      <c r="C18" s="27">
        <v>11760553</v>
      </c>
      <c r="D18" s="28" t="s">
        <v>90</v>
      </c>
      <c r="E18" s="29">
        <v>1.74</v>
      </c>
      <c r="F18" s="29">
        <v>23.01</v>
      </c>
    </row>
    <row r="19" spans="2:6" ht="18.75" thickTop="1" thickBot="1" x14ac:dyDescent="0.3">
      <c r="B19" s="27">
        <v>12</v>
      </c>
      <c r="C19" s="27">
        <v>0</v>
      </c>
      <c r="D19" s="28" t="s">
        <v>81</v>
      </c>
      <c r="E19" s="29">
        <v>1.83</v>
      </c>
      <c r="F19" s="29">
        <v>24.26</v>
      </c>
    </row>
    <row r="20" spans="2:6" ht="36" thickTop="1" thickBot="1" x14ac:dyDescent="0.3">
      <c r="B20" s="27">
        <v>13</v>
      </c>
      <c r="C20" s="27">
        <v>7237373</v>
      </c>
      <c r="D20" s="28" t="s">
        <v>91</v>
      </c>
      <c r="E20" s="29">
        <v>1.87</v>
      </c>
      <c r="F20" s="29">
        <v>24.87</v>
      </c>
    </row>
    <row r="21" spans="2:6" ht="36" thickTop="1" thickBot="1" x14ac:dyDescent="0.3">
      <c r="B21" s="27">
        <v>14</v>
      </c>
      <c r="C21" s="27">
        <v>7207996</v>
      </c>
      <c r="D21" s="28" t="s">
        <v>74</v>
      </c>
      <c r="E21" s="29">
        <v>1.88</v>
      </c>
      <c r="F21" s="29">
        <v>25.06</v>
      </c>
    </row>
    <row r="22" spans="2:6" ht="18.75" thickTop="1" thickBot="1" x14ac:dyDescent="0.3">
      <c r="B22" s="27">
        <v>15</v>
      </c>
      <c r="C22" s="27">
        <v>13009717</v>
      </c>
      <c r="D22" s="28" t="s">
        <v>126</v>
      </c>
      <c r="E22" s="29">
        <v>1.9</v>
      </c>
      <c r="F22" s="29">
        <v>25.39</v>
      </c>
    </row>
    <row r="23" spans="2:6" ht="18.75" thickTop="1" thickBot="1" x14ac:dyDescent="0.3">
      <c r="B23" s="27">
        <v>16</v>
      </c>
      <c r="C23" s="27">
        <v>61033106</v>
      </c>
      <c r="D23" s="28" t="s">
        <v>127</v>
      </c>
      <c r="E23" s="29">
        <v>1.91</v>
      </c>
      <c r="F23" s="29">
        <v>25.5</v>
      </c>
    </row>
    <row r="24" spans="2:6" ht="18.75" thickTop="1" thickBot="1" x14ac:dyDescent="0.3">
      <c r="B24" s="27">
        <v>17</v>
      </c>
      <c r="C24" s="27">
        <v>60746948</v>
      </c>
      <c r="D24" s="28" t="s">
        <v>80</v>
      </c>
      <c r="E24" s="29">
        <v>1.92</v>
      </c>
      <c r="F24" s="29">
        <v>25.65</v>
      </c>
    </row>
    <row r="25" spans="2:6" ht="18.75" thickTop="1" thickBot="1" x14ac:dyDescent="0.3">
      <c r="B25" s="27">
        <v>18</v>
      </c>
      <c r="C25" s="27">
        <v>58160789</v>
      </c>
      <c r="D25" s="28" t="s">
        <v>75</v>
      </c>
      <c r="E25" s="29">
        <v>1.93</v>
      </c>
      <c r="F25" s="29">
        <v>25.81</v>
      </c>
    </row>
    <row r="26" spans="2:6" ht="18.75" thickTop="1" thickBot="1" x14ac:dyDescent="0.3">
      <c r="B26" s="27">
        <v>19</v>
      </c>
      <c r="C26" s="27">
        <v>558456</v>
      </c>
      <c r="D26" s="28" t="s">
        <v>78</v>
      </c>
      <c r="E26" s="29">
        <v>1.94</v>
      </c>
      <c r="F26" s="29">
        <v>25.87</v>
      </c>
    </row>
    <row r="27" spans="2:6" ht="18.75" thickTop="1" thickBot="1" x14ac:dyDescent="0.3">
      <c r="B27" s="27">
        <v>20</v>
      </c>
      <c r="C27" s="27">
        <v>14388334</v>
      </c>
      <c r="D27" s="28" t="s">
        <v>82</v>
      </c>
      <c r="E27" s="29">
        <v>1.94</v>
      </c>
      <c r="F27" s="29">
        <v>25.92</v>
      </c>
    </row>
    <row r="28" spans="2:6" ht="18.75" thickTop="1" thickBot="1" x14ac:dyDescent="0.3">
      <c r="B28" s="27">
        <v>21</v>
      </c>
      <c r="C28" s="27">
        <v>7512441</v>
      </c>
      <c r="D28" s="28" t="s">
        <v>128</v>
      </c>
      <c r="E28" s="29">
        <v>1.95</v>
      </c>
      <c r="F28" s="29">
        <v>26.01</v>
      </c>
    </row>
    <row r="29" spans="2:6" ht="18.75" thickTop="1" thickBot="1" x14ac:dyDescent="0.3">
      <c r="B29" s="27">
        <v>22</v>
      </c>
      <c r="C29" s="27">
        <v>556603</v>
      </c>
      <c r="D29" s="28" t="s">
        <v>77</v>
      </c>
      <c r="E29" s="29">
        <v>1.95</v>
      </c>
      <c r="F29" s="29">
        <v>26.12</v>
      </c>
    </row>
    <row r="30" spans="2:6" ht="18.75" thickTop="1" thickBot="1" x14ac:dyDescent="0.3">
      <c r="B30" s="27">
        <v>23</v>
      </c>
      <c r="C30" s="27">
        <v>60701190</v>
      </c>
      <c r="D30" s="28" t="s">
        <v>83</v>
      </c>
      <c r="E30" s="29">
        <v>1.96</v>
      </c>
      <c r="F30" s="29">
        <v>26.24</v>
      </c>
    </row>
    <row r="31" spans="2:6" ht="18.75" thickTop="1" thickBot="1" x14ac:dyDescent="0.3">
      <c r="B31" s="27">
        <v>24</v>
      </c>
      <c r="C31" s="27">
        <v>28127603</v>
      </c>
      <c r="D31" s="28" t="s">
        <v>92</v>
      </c>
      <c r="E31" s="29">
        <v>1.98</v>
      </c>
      <c r="F31" s="29">
        <v>26.5</v>
      </c>
    </row>
    <row r="32" spans="2:6" ht="18.75" thickTop="1" thickBot="1" x14ac:dyDescent="0.3">
      <c r="B32" s="27">
        <v>25</v>
      </c>
      <c r="C32" s="27">
        <v>33885724</v>
      </c>
      <c r="D32" s="28" t="s">
        <v>86</v>
      </c>
      <c r="E32" s="29">
        <v>1.99</v>
      </c>
      <c r="F32" s="29">
        <v>26.71</v>
      </c>
    </row>
    <row r="33" spans="2:6" ht="18.75" thickTop="1" thickBot="1" x14ac:dyDescent="0.3">
      <c r="B33" s="27">
        <v>26</v>
      </c>
      <c r="C33" s="27">
        <v>10664513</v>
      </c>
      <c r="D33" s="28" t="s">
        <v>89</v>
      </c>
      <c r="E33" s="29">
        <v>2.0099999999999998</v>
      </c>
      <c r="F33" s="29">
        <v>26.97</v>
      </c>
    </row>
    <row r="34" spans="2:6" ht="18.75" thickTop="1" thickBot="1" x14ac:dyDescent="0.3">
      <c r="B34" s="27">
        <v>27</v>
      </c>
      <c r="C34" s="27">
        <v>61186680</v>
      </c>
      <c r="D34" s="28" t="s">
        <v>87</v>
      </c>
      <c r="E34" s="29">
        <v>2.02</v>
      </c>
      <c r="F34" s="29">
        <v>27.11</v>
      </c>
    </row>
    <row r="35" spans="2:6" ht="36" thickTop="1" thickBot="1" x14ac:dyDescent="0.3">
      <c r="B35" s="27">
        <v>28</v>
      </c>
      <c r="C35" s="27">
        <v>90400888</v>
      </c>
      <c r="D35" s="28" t="s">
        <v>79</v>
      </c>
      <c r="E35" s="29">
        <v>2.0299999999999998</v>
      </c>
      <c r="F35" s="29">
        <v>27.29</v>
      </c>
    </row>
    <row r="36" spans="2:6" ht="18.75" thickTop="1" thickBot="1" x14ac:dyDescent="0.3">
      <c r="B36" s="27">
        <v>29</v>
      </c>
      <c r="C36" s="27">
        <v>61820817</v>
      </c>
      <c r="D36" s="28" t="s">
        <v>129</v>
      </c>
      <c r="E36" s="29">
        <v>2.04</v>
      </c>
      <c r="F36" s="29">
        <v>27.37</v>
      </c>
    </row>
    <row r="37" spans="2:6" ht="36" thickTop="1" thickBot="1" x14ac:dyDescent="0.3">
      <c r="B37" s="27">
        <v>30</v>
      </c>
      <c r="C37" s="27">
        <v>5192316</v>
      </c>
      <c r="D37" s="28" t="s">
        <v>95</v>
      </c>
      <c r="E37" s="29">
        <v>2.04</v>
      </c>
      <c r="F37" s="29">
        <v>27.48</v>
      </c>
    </row>
    <row r="38" spans="2:6" ht="18.75" thickTop="1" thickBot="1" x14ac:dyDescent="0.3">
      <c r="B38" s="27">
        <v>31</v>
      </c>
      <c r="C38" s="27">
        <v>5676026</v>
      </c>
      <c r="D38" s="28" t="s">
        <v>84</v>
      </c>
      <c r="E38" s="29">
        <v>2.08</v>
      </c>
      <c r="F38" s="29">
        <v>27.97</v>
      </c>
    </row>
    <row r="39" spans="2:6" ht="36" thickTop="1" thickBot="1" x14ac:dyDescent="0.3">
      <c r="B39" s="27">
        <v>32</v>
      </c>
      <c r="C39" s="27">
        <v>17184037</v>
      </c>
      <c r="D39" s="28" t="s">
        <v>93</v>
      </c>
      <c r="E39" s="29">
        <v>2.09</v>
      </c>
      <c r="F39" s="29">
        <v>28.11</v>
      </c>
    </row>
    <row r="40" spans="2:6" ht="18.75" thickTop="1" thickBot="1" x14ac:dyDescent="0.3">
      <c r="B40" s="27">
        <v>33</v>
      </c>
      <c r="C40" s="27">
        <v>5351887</v>
      </c>
      <c r="D40" s="28" t="s">
        <v>131</v>
      </c>
      <c r="E40" s="29">
        <v>2.09</v>
      </c>
      <c r="F40" s="29">
        <v>28.23</v>
      </c>
    </row>
    <row r="41" spans="2:6" ht="18.75" thickTop="1" thickBot="1" x14ac:dyDescent="0.3">
      <c r="B41" s="27">
        <v>34</v>
      </c>
      <c r="C41" s="27">
        <v>61348538</v>
      </c>
      <c r="D41" s="28" t="s">
        <v>130</v>
      </c>
      <c r="E41" s="29">
        <v>2.1</v>
      </c>
      <c r="F41" s="29">
        <v>28.26</v>
      </c>
    </row>
    <row r="42" spans="2:6" ht="18.75" thickTop="1" thickBot="1" x14ac:dyDescent="0.3">
      <c r="B42" s="27">
        <v>35</v>
      </c>
      <c r="C42" s="27">
        <v>15581638</v>
      </c>
      <c r="D42" s="28" t="s">
        <v>94</v>
      </c>
      <c r="E42" s="29">
        <v>2.13</v>
      </c>
      <c r="F42" s="29">
        <v>28.83</v>
      </c>
    </row>
    <row r="43" spans="2:6" ht="18.75" thickTop="1" thickBot="1" x14ac:dyDescent="0.3">
      <c r="B43" s="27">
        <v>36</v>
      </c>
      <c r="C43" s="27">
        <v>59285411</v>
      </c>
      <c r="D43" s="28" t="s">
        <v>88</v>
      </c>
      <c r="E43" s="29">
        <v>2.14</v>
      </c>
      <c r="F43" s="29">
        <v>28.87</v>
      </c>
    </row>
    <row r="44" spans="2:6" ht="18.75" thickTop="1" thickBot="1" x14ac:dyDescent="0.3">
      <c r="B44" s="27">
        <v>37</v>
      </c>
      <c r="C44" s="27">
        <v>33040601</v>
      </c>
      <c r="D44" s="28" t="s">
        <v>85</v>
      </c>
      <c r="E44" s="29">
        <v>2.17</v>
      </c>
      <c r="F44" s="29">
        <v>29.41</v>
      </c>
    </row>
    <row r="45" spans="2:6" ht="17.25" thickTop="1" thickBot="1" x14ac:dyDescent="0.3">
      <c r="B45" s="30"/>
      <c r="C45" s="30"/>
      <c r="D45" s="30"/>
      <c r="E45" s="31">
        <f>SUM(E8:E12)/5</f>
        <v>1.482</v>
      </c>
      <c r="F45" s="30"/>
    </row>
    <row r="46" spans="2:6" ht="17.25" thickTop="1" thickBot="1" x14ac:dyDescent="0.3">
      <c r="B46" s="30"/>
      <c r="C46" s="30"/>
      <c r="D46" s="30"/>
      <c r="E46" s="75">
        <v>1.4800000000000001E-2</v>
      </c>
      <c r="F46" s="30"/>
    </row>
    <row r="47" spans="2:6" ht="15.75" thickTop="1" x14ac:dyDescent="0.25"/>
  </sheetData>
  <mergeCells count="6">
    <mergeCell ref="B2:F2"/>
    <mergeCell ref="B3:C3"/>
    <mergeCell ref="D3:F3"/>
    <mergeCell ref="B4:C4"/>
    <mergeCell ref="B5:C5"/>
    <mergeCell ref="D5:F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8A1A-96AD-4C3C-8022-D3A1694C5D85}">
  <dimension ref="A2:I54"/>
  <sheetViews>
    <sheetView showZeros="0" topLeftCell="A43" zoomScale="140" zoomScaleNormal="140" workbookViewId="0">
      <selection activeCell="H48" sqref="H48"/>
    </sheetView>
  </sheetViews>
  <sheetFormatPr defaultRowHeight="15" x14ac:dyDescent="0.25"/>
  <cols>
    <col min="1" max="1" width="5.28515625" customWidth="1"/>
    <col min="2" max="2" width="12" style="12" customWidth="1"/>
    <col min="3" max="3" width="51.140625" style="12" customWidth="1"/>
    <col min="4" max="4" width="21.7109375" style="12" customWidth="1"/>
    <col min="5" max="5" width="6.42578125" style="12" customWidth="1"/>
    <col min="6" max="6" width="12.28515625" style="12" customWidth="1"/>
    <col min="7" max="7" width="10.140625" customWidth="1"/>
  </cols>
  <sheetData>
    <row r="2" spans="1:9" ht="24" x14ac:dyDescent="0.4">
      <c r="B2" s="188" t="s">
        <v>98</v>
      </c>
      <c r="C2" s="188"/>
      <c r="D2" s="188"/>
    </row>
    <row r="3" spans="1:9" ht="5.0999999999999996" customHeight="1" thickBot="1" x14ac:dyDescent="0.3">
      <c r="E3"/>
      <c r="F3"/>
    </row>
    <row r="4" spans="1:9" ht="28.5" thickTop="1" thickBot="1" x14ac:dyDescent="0.3">
      <c r="B4" s="181" t="s">
        <v>4</v>
      </c>
      <c r="C4" s="181"/>
      <c r="D4" s="181"/>
      <c r="E4"/>
      <c r="F4"/>
    </row>
    <row r="5" spans="1:9" ht="27.75" thickTop="1" thickBot="1" x14ac:dyDescent="0.3">
      <c r="B5" s="182" t="s">
        <v>5</v>
      </c>
      <c r="C5" s="182"/>
      <c r="D5" s="13">
        <f>'DADOS APLICAÇÃO CALCULO'!I19</f>
        <v>72</v>
      </c>
      <c r="E5"/>
      <c r="F5"/>
    </row>
    <row r="6" spans="1:9" ht="27.75" thickTop="1" thickBot="1" x14ac:dyDescent="0.3">
      <c r="B6" s="183" t="s">
        <v>9</v>
      </c>
      <c r="C6" s="183"/>
      <c r="D6" s="14">
        <f>RATE(D5,-D7,D8)</f>
        <v>2.0851286173794104E-2</v>
      </c>
      <c r="E6"/>
      <c r="F6"/>
      <c r="I6">
        <v>0</v>
      </c>
    </row>
    <row r="7" spans="1:9" ht="27.75" thickTop="1" thickBot="1" x14ac:dyDescent="0.3">
      <c r="B7" s="184" t="s">
        <v>7</v>
      </c>
      <c r="C7" s="184"/>
      <c r="D7" s="15">
        <f>'DADOS APLICAÇÃO CALCULO'!I20</f>
        <v>1221.3499999999999</v>
      </c>
      <c r="E7"/>
      <c r="F7"/>
    </row>
    <row r="8" spans="1:9" ht="24.75" thickTop="1" thickBot="1" x14ac:dyDescent="0.3">
      <c r="B8" s="179" t="s">
        <v>8</v>
      </c>
      <c r="C8" s="179"/>
      <c r="D8" s="16">
        <f>'DADOS APLICAÇÃO CALCULO'!J13</f>
        <v>45318.44</v>
      </c>
      <c r="E8"/>
      <c r="F8"/>
    </row>
    <row r="9" spans="1:9" ht="24" thickTop="1" x14ac:dyDescent="0.25">
      <c r="B9" s="57"/>
      <c r="C9" s="58"/>
      <c r="D9" s="58"/>
      <c r="E9"/>
      <c r="F9"/>
    </row>
    <row r="10" spans="1:9" ht="24.75" thickBot="1" x14ac:dyDescent="0.45">
      <c r="B10" s="188" t="s">
        <v>99</v>
      </c>
      <c r="C10" s="188"/>
      <c r="D10" s="188"/>
      <c r="E10"/>
      <c r="F10" s="64" t="s">
        <v>104</v>
      </c>
    </row>
    <row r="11" spans="1:9" ht="28.5" thickTop="1" thickBot="1" x14ac:dyDescent="0.3">
      <c r="B11" s="181" t="s">
        <v>4</v>
      </c>
      <c r="C11" s="181"/>
      <c r="D11" s="181"/>
      <c r="E11"/>
      <c r="F11" s="69">
        <f>D7</f>
        <v>1221.3499999999999</v>
      </c>
    </row>
    <row r="12" spans="1:9" ht="27.75" thickTop="1" thickBot="1" x14ac:dyDescent="0.3">
      <c r="B12" s="182" t="s">
        <v>5</v>
      </c>
      <c r="C12" s="182"/>
      <c r="D12" s="17">
        <f>'DADOS APLICAÇÃO CALCULO'!I19</f>
        <v>72</v>
      </c>
      <c r="E12"/>
      <c r="F12" s="64" t="s">
        <v>106</v>
      </c>
    </row>
    <row r="13" spans="1:9" ht="27.75" thickTop="1" thickBot="1" x14ac:dyDescent="0.3">
      <c r="B13" s="186" t="s">
        <v>53</v>
      </c>
      <c r="C13" s="187"/>
      <c r="D13" s="18">
        <f>'DADOS APLICAÇÃO CALCULO'!I21</f>
        <v>1.9699999999999999E-2</v>
      </c>
      <c r="E13"/>
      <c r="F13" s="68">
        <f>D14</f>
        <v>1183.2065436317491</v>
      </c>
      <c r="G13" s="64"/>
      <c r="H13" s="66"/>
    </row>
    <row r="14" spans="1:9" ht="27.75" thickTop="1" thickBot="1" x14ac:dyDescent="0.3">
      <c r="B14" s="184" t="s">
        <v>7</v>
      </c>
      <c r="C14" s="184"/>
      <c r="D14" s="19">
        <f>-PMT(D13,D12,D15)</f>
        <v>1183.2065436317491</v>
      </c>
      <c r="E14"/>
      <c r="F14" s="64" t="s">
        <v>14</v>
      </c>
      <c r="G14" s="65"/>
      <c r="H14" s="65"/>
    </row>
    <row r="15" spans="1:9" ht="24.75" thickTop="1" thickBot="1" x14ac:dyDescent="0.3">
      <c r="B15" s="179" t="s">
        <v>8</v>
      </c>
      <c r="C15" s="179"/>
      <c r="D15" s="20">
        <f>'DADOS APLICAÇÃO CALCULO'!J13</f>
        <v>45318.44</v>
      </c>
      <c r="E15"/>
      <c r="F15" s="69">
        <f>F11-F13</f>
        <v>38.143456368250781</v>
      </c>
      <c r="I15" s="67" t="s">
        <v>105</v>
      </c>
    </row>
    <row r="16" spans="1:9" ht="24" thickTop="1" x14ac:dyDescent="0.25">
      <c r="A16" s="59"/>
      <c r="B16" s="56"/>
      <c r="C16" s="60"/>
      <c r="D16" s="60"/>
      <c r="E16"/>
      <c r="F16"/>
    </row>
    <row r="17" spans="1:6" ht="24.75" thickBot="1" x14ac:dyDescent="0.3">
      <c r="A17" s="59"/>
      <c r="B17" s="189" t="s">
        <v>97</v>
      </c>
      <c r="C17" s="189"/>
      <c r="D17" s="189"/>
      <c r="E17"/>
      <c r="F17"/>
    </row>
    <row r="18" spans="1:6" ht="28.5" thickTop="1" thickBot="1" x14ac:dyDescent="0.3">
      <c r="B18" s="181" t="s">
        <v>4</v>
      </c>
      <c r="C18" s="181"/>
      <c r="D18" s="181"/>
      <c r="E18"/>
      <c r="F18"/>
    </row>
    <row r="19" spans="1:6" ht="27.75" thickTop="1" thickBot="1" x14ac:dyDescent="0.3">
      <c r="B19" s="182" t="s">
        <v>5</v>
      </c>
      <c r="C19" s="182"/>
      <c r="D19" s="21">
        <f>ROUND(NPER(D20,D21,-D22),0)</f>
        <v>67</v>
      </c>
      <c r="E19"/>
      <c r="F19"/>
    </row>
    <row r="20" spans="1:6" ht="27.75" thickTop="1" thickBot="1" x14ac:dyDescent="0.3">
      <c r="B20" s="186" t="s">
        <v>53</v>
      </c>
      <c r="C20" s="187"/>
      <c r="D20" s="18">
        <f>'DADOS APLICAÇÃO CALCULO'!I21</f>
        <v>1.9699999999999999E-2</v>
      </c>
      <c r="E20"/>
      <c r="F20"/>
    </row>
    <row r="21" spans="1:6" ht="27.75" thickTop="1" thickBot="1" x14ac:dyDescent="0.3">
      <c r="B21" s="184" t="s">
        <v>7</v>
      </c>
      <c r="C21" s="184"/>
      <c r="D21" s="22">
        <f>'DADOS APLICAÇÃO CALCULO'!I20</f>
        <v>1221.3499999999999</v>
      </c>
      <c r="E21"/>
      <c r="F21"/>
    </row>
    <row r="22" spans="1:6" ht="24.75" thickTop="1" thickBot="1" x14ac:dyDescent="0.3">
      <c r="B22" s="179" t="s">
        <v>8</v>
      </c>
      <c r="C22" s="179"/>
      <c r="D22" s="20">
        <f>'DADOS APLICAÇÃO CALCULO'!J13</f>
        <v>45318.44</v>
      </c>
      <c r="E22"/>
      <c r="F22"/>
    </row>
    <row r="23" spans="1:6" ht="24" thickTop="1" x14ac:dyDescent="0.25">
      <c r="A23" s="59"/>
      <c r="B23" s="56"/>
      <c r="C23" s="60"/>
      <c r="D23" s="60"/>
      <c r="E23"/>
      <c r="F23"/>
    </row>
    <row r="24" spans="1:6" ht="24.75" thickBot="1" x14ac:dyDescent="0.45">
      <c r="A24" s="59"/>
      <c r="B24" s="190" t="s">
        <v>100</v>
      </c>
      <c r="C24" s="190"/>
      <c r="D24" s="190"/>
      <c r="E24"/>
      <c r="F24"/>
    </row>
    <row r="25" spans="1:6" ht="28.5" thickTop="1" thickBot="1" x14ac:dyDescent="0.3">
      <c r="B25" s="181" t="s">
        <v>4</v>
      </c>
      <c r="C25" s="181"/>
      <c r="D25" s="181"/>
      <c r="E25"/>
      <c r="F25"/>
    </row>
    <row r="26" spans="1:6" ht="27.75" thickTop="1" thickBot="1" x14ac:dyDescent="0.3">
      <c r="B26" s="182" t="s">
        <v>5</v>
      </c>
      <c r="C26" s="182"/>
      <c r="D26" s="21">
        <f>ROUND(NPER(D27,D28,-D29),0)</f>
        <v>62</v>
      </c>
      <c r="E26"/>
      <c r="F26"/>
    </row>
    <row r="27" spans="1:6" ht="27.75" thickTop="1" thickBot="1" x14ac:dyDescent="0.3">
      <c r="B27" s="183" t="s">
        <v>52</v>
      </c>
      <c r="C27" s="183"/>
      <c r="D27" s="18">
        <v>1.7999999999999999E-2</v>
      </c>
      <c r="E27">
        <v>0</v>
      </c>
      <c r="F27"/>
    </row>
    <row r="28" spans="1:6" ht="27.75" thickTop="1" thickBot="1" x14ac:dyDescent="0.3">
      <c r="B28" s="184" t="s">
        <v>7</v>
      </c>
      <c r="C28" s="184"/>
      <c r="D28" s="22">
        <f>'DADOS APLICAÇÃO CALCULO'!I20</f>
        <v>1221.3499999999999</v>
      </c>
      <c r="E28"/>
      <c r="F28"/>
    </row>
    <row r="29" spans="1:6" ht="24.75" thickTop="1" thickBot="1" x14ac:dyDescent="0.3">
      <c r="B29" s="179" t="s">
        <v>8</v>
      </c>
      <c r="C29" s="179"/>
      <c r="D29" s="16">
        <f>'DADOS APLICAÇÃO CALCULO'!J13</f>
        <v>45318.44</v>
      </c>
      <c r="E29"/>
      <c r="F29"/>
    </row>
    <row r="30" spans="1:6" ht="24" customHeight="1" thickTop="1" x14ac:dyDescent="0.25">
      <c r="E30"/>
      <c r="F30" s="64" t="s">
        <v>104</v>
      </c>
    </row>
    <row r="31" spans="1:6" ht="24.75" thickBot="1" x14ac:dyDescent="0.45">
      <c r="B31" s="190" t="s">
        <v>101</v>
      </c>
      <c r="C31" s="190"/>
      <c r="D31" s="190"/>
      <c r="E31"/>
      <c r="F31" s="69">
        <f>D7</f>
        <v>1221.3499999999999</v>
      </c>
    </row>
    <row r="32" spans="1:6" ht="28.5" thickTop="1" thickBot="1" x14ac:dyDescent="0.3">
      <c r="B32" s="181" t="s">
        <v>4</v>
      </c>
      <c r="C32" s="181"/>
      <c r="D32" s="181"/>
      <c r="E32"/>
      <c r="F32" s="64" t="s">
        <v>106</v>
      </c>
    </row>
    <row r="33" spans="2:6" ht="27.75" thickTop="1" thickBot="1" x14ac:dyDescent="0.3">
      <c r="B33" s="182" t="s">
        <v>5</v>
      </c>
      <c r="C33" s="182"/>
      <c r="D33" s="13">
        <f>'DADOS APLICAÇÃO CALCULO'!I19</f>
        <v>72</v>
      </c>
      <c r="E33"/>
      <c r="F33" s="68">
        <f>D35</f>
        <v>1127.9418327150624</v>
      </c>
    </row>
    <row r="34" spans="2:6" ht="27.75" thickTop="1" thickBot="1" x14ac:dyDescent="0.3">
      <c r="B34" s="183" t="s">
        <v>52</v>
      </c>
      <c r="C34" s="183"/>
      <c r="D34" s="18">
        <v>1.7999999999999999E-2</v>
      </c>
      <c r="E34">
        <v>0</v>
      </c>
      <c r="F34" s="64" t="s">
        <v>14</v>
      </c>
    </row>
    <row r="35" spans="2:6" ht="27.75" thickTop="1" thickBot="1" x14ac:dyDescent="0.3">
      <c r="B35" s="184" t="s">
        <v>7</v>
      </c>
      <c r="C35" s="184"/>
      <c r="D35" s="23">
        <f>-PMT(D34,D33,D36)</f>
        <v>1127.9418327150624</v>
      </c>
      <c r="E35"/>
      <c r="F35" s="69">
        <f>F31-F33</f>
        <v>93.408167284937463</v>
      </c>
    </row>
    <row r="36" spans="2:6" ht="24.75" thickTop="1" thickBot="1" x14ac:dyDescent="0.3">
      <c r="B36" s="179" t="s">
        <v>8</v>
      </c>
      <c r="C36" s="179"/>
      <c r="D36" s="16">
        <f>'DADOS APLICAÇÃO CALCULO'!J13</f>
        <v>45318.44</v>
      </c>
      <c r="E36"/>
      <c r="F36"/>
    </row>
    <row r="37" spans="2:6" ht="15.75" thickTop="1" x14ac:dyDescent="0.25">
      <c r="E37"/>
      <c r="F37"/>
    </row>
    <row r="38" spans="2:6" x14ac:dyDescent="0.25">
      <c r="E38"/>
      <c r="F38"/>
    </row>
    <row r="39" spans="2:6" ht="24.75" thickBot="1" x14ac:dyDescent="0.45">
      <c r="B39" s="185" t="s">
        <v>102</v>
      </c>
      <c r="C39" s="185"/>
      <c r="D39" s="185"/>
      <c r="E39"/>
      <c r="F39"/>
    </row>
    <row r="40" spans="2:6" ht="28.5" thickTop="1" thickBot="1" x14ac:dyDescent="0.3">
      <c r="B40" s="181" t="s">
        <v>4</v>
      </c>
      <c r="C40" s="181"/>
      <c r="D40" s="181"/>
      <c r="E40"/>
      <c r="F40"/>
    </row>
    <row r="41" spans="2:6" ht="27.75" thickTop="1" thickBot="1" x14ac:dyDescent="0.3">
      <c r="B41" s="182" t="s">
        <v>5</v>
      </c>
      <c r="C41" s="182"/>
      <c r="D41" s="21">
        <f>ROUND(NPER(D42,D43,-D44),0)</f>
        <v>58</v>
      </c>
      <c r="E41"/>
      <c r="F41"/>
    </row>
    <row r="42" spans="2:6" ht="27.75" thickTop="1" thickBot="1" x14ac:dyDescent="0.3">
      <c r="B42" s="183" t="s">
        <v>6</v>
      </c>
      <c r="C42" s="183"/>
      <c r="D42" s="18">
        <f>'DADOS APLICAÇÃO CALCULO'!I38</f>
        <v>1.6400000000000001E-2</v>
      </c>
      <c r="E42"/>
      <c r="F42"/>
    </row>
    <row r="43" spans="2:6" ht="27.75" thickTop="1" thickBot="1" x14ac:dyDescent="0.3">
      <c r="B43" s="184" t="s">
        <v>7</v>
      </c>
      <c r="C43" s="184"/>
      <c r="D43" s="22">
        <f>'DADOS APLICAÇÃO CALCULO'!I20</f>
        <v>1221.3499999999999</v>
      </c>
      <c r="E43"/>
      <c r="F43"/>
    </row>
    <row r="44" spans="2:6" ht="24.75" thickTop="1" thickBot="1" x14ac:dyDescent="0.3">
      <c r="B44" s="179" t="s">
        <v>8</v>
      </c>
      <c r="C44" s="179"/>
      <c r="D44" s="16">
        <f>'DADOS APLICAÇÃO CALCULO'!J13</f>
        <v>45318.44</v>
      </c>
      <c r="E44"/>
      <c r="F44"/>
    </row>
    <row r="45" spans="2:6" ht="25.5" thickTop="1" x14ac:dyDescent="0.25">
      <c r="B45" s="61"/>
      <c r="C45" s="62"/>
      <c r="D45" s="62"/>
      <c r="E45"/>
      <c r="F45"/>
    </row>
    <row r="46" spans="2:6" ht="19.5" thickBot="1" x14ac:dyDescent="0.35">
      <c r="B46" s="180" t="s">
        <v>103</v>
      </c>
      <c r="C46" s="180"/>
      <c r="D46" s="180"/>
      <c r="E46"/>
      <c r="F46" s="64" t="s">
        <v>104</v>
      </c>
    </row>
    <row r="47" spans="2:6" ht="28.5" thickTop="1" thickBot="1" x14ac:dyDescent="0.3">
      <c r="B47" s="181" t="s">
        <v>4</v>
      </c>
      <c r="C47" s="181"/>
      <c r="D47" s="181"/>
      <c r="E47"/>
      <c r="F47" s="69">
        <f>D43</f>
        <v>1221.3499999999999</v>
      </c>
    </row>
    <row r="48" spans="2:6" ht="27.75" thickTop="1" thickBot="1" x14ac:dyDescent="0.3">
      <c r="B48" s="182" t="s">
        <v>5</v>
      </c>
      <c r="C48" s="182"/>
      <c r="D48" s="45">
        <f>'DADOS APLICAÇÃO CALCULO'!I19</f>
        <v>72</v>
      </c>
      <c r="E48"/>
      <c r="F48" s="64" t="s">
        <v>106</v>
      </c>
    </row>
    <row r="49" spans="2:8" ht="27.75" thickTop="1" thickBot="1" x14ac:dyDescent="0.3">
      <c r="B49" s="183" t="s">
        <v>10</v>
      </c>
      <c r="C49" s="183"/>
      <c r="D49" s="18">
        <f>'DADOS APLICAÇÃO CALCULO'!I38</f>
        <v>1.6400000000000001E-2</v>
      </c>
      <c r="E49"/>
      <c r="F49" s="68">
        <f>D50</f>
        <v>1077.1150463009665</v>
      </c>
      <c r="G49" s="64"/>
      <c r="H49" s="66"/>
    </row>
    <row r="50" spans="2:8" ht="27.75" thickTop="1" thickBot="1" x14ac:dyDescent="0.3">
      <c r="B50" s="184" t="s">
        <v>7</v>
      </c>
      <c r="C50" s="184"/>
      <c r="D50" s="23">
        <f>-PMT(D49,D48,D51)</f>
        <v>1077.1150463009665</v>
      </c>
      <c r="E50"/>
      <c r="F50" s="64" t="s">
        <v>14</v>
      </c>
      <c r="G50" s="65"/>
      <c r="H50" s="65"/>
    </row>
    <row r="51" spans="2:8" ht="24.75" thickTop="1" thickBot="1" x14ac:dyDescent="0.3">
      <c r="B51" s="179" t="s">
        <v>8</v>
      </c>
      <c r="C51" s="179"/>
      <c r="D51" s="16">
        <f>'DADOS APLICAÇÃO CALCULO'!J13</f>
        <v>45318.44</v>
      </c>
      <c r="E51"/>
      <c r="F51" s="63">
        <f>F47-F49</f>
        <v>144.23495369903344</v>
      </c>
    </row>
    <row r="52" spans="2:8" ht="15.75" thickTop="1" x14ac:dyDescent="0.25">
      <c r="E52"/>
      <c r="F52"/>
    </row>
    <row r="53" spans="2:8" x14ac:dyDescent="0.25">
      <c r="E53"/>
      <c r="F53"/>
    </row>
    <row r="54" spans="2:8" x14ac:dyDescent="0.25">
      <c r="E54"/>
      <c r="F54"/>
    </row>
  </sheetData>
  <mergeCells count="42">
    <mergeCell ref="B2:D2"/>
    <mergeCell ref="B10:D10"/>
    <mergeCell ref="B17:D17"/>
    <mergeCell ref="B24:D24"/>
    <mergeCell ref="B31:D31"/>
    <mergeCell ref="B4:D4"/>
    <mergeCell ref="B5:C5"/>
    <mergeCell ref="B6:C6"/>
    <mergeCell ref="B7:C7"/>
    <mergeCell ref="B8:C8"/>
    <mergeCell ref="B11:D11"/>
    <mergeCell ref="B12:C12"/>
    <mergeCell ref="B13:C13"/>
    <mergeCell ref="B14:C14"/>
    <mergeCell ref="B15:C15"/>
    <mergeCell ref="B18:D18"/>
    <mergeCell ref="B19:C19"/>
    <mergeCell ref="B20:C20"/>
    <mergeCell ref="B21:C21"/>
    <mergeCell ref="B22:C22"/>
    <mergeCell ref="B25:D25"/>
    <mergeCell ref="B26:C26"/>
    <mergeCell ref="B27:C27"/>
    <mergeCell ref="B28:C28"/>
    <mergeCell ref="B29:C29"/>
    <mergeCell ref="B32:D32"/>
    <mergeCell ref="B33:C33"/>
    <mergeCell ref="B34:C34"/>
    <mergeCell ref="B35:C35"/>
    <mergeCell ref="B36:C36"/>
    <mergeCell ref="B39:D39"/>
    <mergeCell ref="B40:D40"/>
    <mergeCell ref="B41:C41"/>
    <mergeCell ref="B42:C42"/>
    <mergeCell ref="B43:C43"/>
    <mergeCell ref="B44:C44"/>
    <mergeCell ref="B51:C51"/>
    <mergeCell ref="B46:D46"/>
    <mergeCell ref="B47:D47"/>
    <mergeCell ref="B48:C48"/>
    <mergeCell ref="B49:C49"/>
    <mergeCell ref="B50:C50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F6A8-5E73-40FD-82D0-9FFAFC7C26A3}">
  <dimension ref="B1:G94"/>
  <sheetViews>
    <sheetView topLeftCell="A74" zoomScale="140" zoomScaleNormal="140" workbookViewId="0">
      <selection activeCell="L17" sqref="L17"/>
    </sheetView>
  </sheetViews>
  <sheetFormatPr defaultRowHeight="15" x14ac:dyDescent="0.25"/>
  <cols>
    <col min="1" max="1" width="18.140625" customWidth="1"/>
    <col min="2" max="2" width="16.7109375" customWidth="1"/>
    <col min="3" max="3" width="20.140625" customWidth="1"/>
    <col min="4" max="4" width="18.42578125" customWidth="1"/>
    <col min="5" max="6" width="20" customWidth="1"/>
    <col min="7" max="7" width="14.7109375" customWidth="1"/>
  </cols>
  <sheetData>
    <row r="1" spans="2:7" ht="15.75" thickBot="1" x14ac:dyDescent="0.3">
      <c r="B1" s="193"/>
      <c r="C1" s="193"/>
      <c r="D1" s="193"/>
      <c r="E1" s="193"/>
      <c r="F1" s="193"/>
    </row>
    <row r="2" spans="2:7" ht="25.5" thickTop="1" thickBot="1" x14ac:dyDescent="0.3">
      <c r="B2" s="194" t="s">
        <v>46</v>
      </c>
      <c r="C2" s="194"/>
      <c r="D2" s="194"/>
      <c r="E2" s="194"/>
      <c r="F2" s="194"/>
      <c r="G2" s="2"/>
    </row>
    <row r="3" spans="2:7" ht="16.5" thickTop="1" thickBot="1" x14ac:dyDescent="0.3">
      <c r="B3" s="195" t="s">
        <v>12</v>
      </c>
      <c r="C3" s="195"/>
      <c r="D3" s="196" t="e" cm="1">
        <f t="array" ref="D3">#REF!</f>
        <v>#REF!</v>
      </c>
      <c r="E3" s="195"/>
      <c r="F3" s="195"/>
      <c r="G3" s="2"/>
    </row>
    <row r="4" spans="2:7" ht="25.5" thickTop="1" thickBot="1" x14ac:dyDescent="0.3">
      <c r="B4" s="82" t="s">
        <v>49</v>
      </c>
      <c r="C4" s="82" t="s">
        <v>43</v>
      </c>
      <c r="D4" s="82" t="s">
        <v>44</v>
      </c>
      <c r="E4" s="82" t="s">
        <v>45</v>
      </c>
      <c r="F4" s="82" t="s">
        <v>11</v>
      </c>
      <c r="G4" s="2"/>
    </row>
    <row r="5" spans="2:7" ht="17.25" thickTop="1" thickBot="1" x14ac:dyDescent="0.3">
      <c r="B5" s="83" t="e" cm="1" vm="1">
        <f t="array" aca="1" ref="B5" ca="1">'DADOS APLICAÇÃO CALCULO'!F5:G5</f>
        <v>#VALUE!</v>
      </c>
      <c r="C5" s="84">
        <f>'DADOS APLICAÇÃO CALCULO'!I21</f>
        <v>1.9699999999999999E-2</v>
      </c>
      <c r="D5" s="84">
        <f>'DADOS APLICAÇÃO CALCULO'!I38</f>
        <v>1.6400000000000001E-2</v>
      </c>
      <c r="E5" s="84">
        <f>'DADOS APLICAÇÃO CALCULO'!I23</f>
        <v>2.0851286173794104E-2</v>
      </c>
      <c r="F5" s="85">
        <v>0</v>
      </c>
      <c r="G5" s="2"/>
    </row>
    <row r="6" spans="2:7" ht="24" thickTop="1" thickBot="1" x14ac:dyDescent="0.3">
      <c r="B6" s="86" t="s">
        <v>1</v>
      </c>
      <c r="C6" s="87" t="s">
        <v>47</v>
      </c>
      <c r="D6" s="87" t="s">
        <v>41</v>
      </c>
      <c r="E6" s="87" t="s">
        <v>42</v>
      </c>
      <c r="F6" s="87" t="s">
        <v>39</v>
      </c>
      <c r="G6" s="2"/>
    </row>
    <row r="7" spans="2:7" ht="17.25" thickTop="1" thickBot="1" x14ac:dyDescent="0.3">
      <c r="B7" s="83">
        <f>'DADOS APLICAÇÃO CALCULO'!I22</f>
        <v>45208</v>
      </c>
      <c r="C7" s="85">
        <f>'DADOS APLICAÇÃO CALCULO'!I19</f>
        <v>72</v>
      </c>
      <c r="D7" s="209">
        <f>'DADOS APLICAÇÃO CALCULO'!I20</f>
        <v>1221.3499999999999</v>
      </c>
      <c r="E7" s="209">
        <f>'DADOS APLICAÇÃO CALCULO'!I39</f>
        <v>1077.1150463009665</v>
      </c>
      <c r="F7" s="85">
        <f>'DADOS APLICAÇÃO CALCULO'!I27</f>
        <v>36</v>
      </c>
      <c r="G7" s="2"/>
    </row>
    <row r="8" spans="2:7" ht="28.5" thickTop="1" thickBot="1" x14ac:dyDescent="0.3">
      <c r="B8" s="89" t="s">
        <v>3</v>
      </c>
      <c r="C8" s="90" t="s">
        <v>2</v>
      </c>
      <c r="D8" s="91" t="s">
        <v>13</v>
      </c>
      <c r="E8" s="91" t="s">
        <v>48</v>
      </c>
      <c r="F8" s="90" t="s">
        <v>14</v>
      </c>
    </row>
    <row r="9" spans="2:7" ht="16.5" thickTop="1" thickBot="1" x14ac:dyDescent="0.3">
      <c r="B9" s="92">
        <v>1</v>
      </c>
      <c r="C9" s="93">
        <v>45208</v>
      </c>
      <c r="D9" s="94">
        <v>1221.3499999999999</v>
      </c>
      <c r="E9" s="94">
        <v>1071.1199999999999</v>
      </c>
      <c r="F9" s="94">
        <f>D9-E9</f>
        <v>150.23000000000002</v>
      </c>
    </row>
    <row r="10" spans="2:7" ht="16.5" thickTop="1" thickBot="1" x14ac:dyDescent="0.3">
      <c r="B10" s="92">
        <v>2</v>
      </c>
      <c r="C10" s="93">
        <v>45239</v>
      </c>
      <c r="D10" s="94">
        <v>1221.3499999999999</v>
      </c>
      <c r="E10" s="94">
        <v>1071.1199999999999</v>
      </c>
      <c r="F10" s="94">
        <f t="shared" ref="F10:F63" si="0">D10-E10</f>
        <v>150.23000000000002</v>
      </c>
    </row>
    <row r="11" spans="2:7" ht="16.5" thickTop="1" thickBot="1" x14ac:dyDescent="0.3">
      <c r="B11" s="92">
        <v>3</v>
      </c>
      <c r="C11" s="93">
        <v>45269</v>
      </c>
      <c r="D11" s="94">
        <v>1221.3499999999999</v>
      </c>
      <c r="E11" s="94">
        <v>1071.1199999999999</v>
      </c>
      <c r="F11" s="94">
        <f t="shared" si="0"/>
        <v>150.23000000000002</v>
      </c>
    </row>
    <row r="12" spans="2:7" ht="16.5" thickTop="1" thickBot="1" x14ac:dyDescent="0.3">
      <c r="B12" s="92">
        <v>4</v>
      </c>
      <c r="C12" s="93">
        <v>45300</v>
      </c>
      <c r="D12" s="94">
        <v>1221.3499999999999</v>
      </c>
      <c r="E12" s="94">
        <v>1071.1199999999999</v>
      </c>
      <c r="F12" s="94">
        <f t="shared" si="0"/>
        <v>150.23000000000002</v>
      </c>
    </row>
    <row r="13" spans="2:7" ht="16.5" thickTop="1" thickBot="1" x14ac:dyDescent="0.3">
      <c r="B13" s="92">
        <v>5</v>
      </c>
      <c r="C13" s="93">
        <v>45331</v>
      </c>
      <c r="D13" s="94">
        <v>1221.3499999999999</v>
      </c>
      <c r="E13" s="94">
        <v>1071.1199999999999</v>
      </c>
      <c r="F13" s="94">
        <f t="shared" si="0"/>
        <v>150.23000000000002</v>
      </c>
    </row>
    <row r="14" spans="2:7" ht="16.5" thickTop="1" thickBot="1" x14ac:dyDescent="0.3">
      <c r="B14" s="92">
        <v>6</v>
      </c>
      <c r="C14" s="93">
        <v>45360</v>
      </c>
      <c r="D14" s="94">
        <v>1221.3499999999999</v>
      </c>
      <c r="E14" s="94">
        <v>1071.1199999999999</v>
      </c>
      <c r="F14" s="94">
        <f t="shared" si="0"/>
        <v>150.23000000000002</v>
      </c>
    </row>
    <row r="15" spans="2:7" ht="16.5" thickTop="1" thickBot="1" x14ac:dyDescent="0.3">
      <c r="B15" s="92">
        <v>7</v>
      </c>
      <c r="C15" s="93">
        <v>45391</v>
      </c>
      <c r="D15" s="94">
        <v>1221.3499999999999</v>
      </c>
      <c r="E15" s="94">
        <v>1071.1199999999999</v>
      </c>
      <c r="F15" s="94">
        <f t="shared" si="0"/>
        <v>150.23000000000002</v>
      </c>
    </row>
    <row r="16" spans="2:7" ht="16.5" thickTop="1" thickBot="1" x14ac:dyDescent="0.3">
      <c r="B16" s="92">
        <v>8</v>
      </c>
      <c r="C16" s="93">
        <v>45421</v>
      </c>
      <c r="D16" s="94">
        <v>1221.3499999999999</v>
      </c>
      <c r="E16" s="94">
        <v>1071.1199999999999</v>
      </c>
      <c r="F16" s="94">
        <f t="shared" si="0"/>
        <v>150.23000000000002</v>
      </c>
    </row>
    <row r="17" spans="2:6" ht="16.5" thickTop="1" thickBot="1" x14ac:dyDescent="0.3">
      <c r="B17" s="92">
        <v>9</v>
      </c>
      <c r="C17" s="93">
        <v>45452</v>
      </c>
      <c r="D17" s="94">
        <v>1221.3499999999999</v>
      </c>
      <c r="E17" s="94">
        <v>1071.1199999999999</v>
      </c>
      <c r="F17" s="94">
        <f t="shared" si="0"/>
        <v>150.23000000000002</v>
      </c>
    </row>
    <row r="18" spans="2:6" ht="16.5" thickTop="1" thickBot="1" x14ac:dyDescent="0.3">
      <c r="B18" s="92">
        <v>10</v>
      </c>
      <c r="C18" s="93">
        <v>45482</v>
      </c>
      <c r="D18" s="94">
        <v>1221.3499999999999</v>
      </c>
      <c r="E18" s="94">
        <v>1071.1199999999999</v>
      </c>
      <c r="F18" s="94">
        <f t="shared" si="0"/>
        <v>150.23000000000002</v>
      </c>
    </row>
    <row r="19" spans="2:6" ht="16.5" thickTop="1" thickBot="1" x14ac:dyDescent="0.3">
      <c r="B19" s="92">
        <v>11</v>
      </c>
      <c r="C19" s="93">
        <v>45513</v>
      </c>
      <c r="D19" s="94">
        <v>1221.3499999999999</v>
      </c>
      <c r="E19" s="94">
        <v>1071.1199999999999</v>
      </c>
      <c r="F19" s="94">
        <f t="shared" si="0"/>
        <v>150.23000000000002</v>
      </c>
    </row>
    <row r="20" spans="2:6" ht="16.5" thickTop="1" thickBot="1" x14ac:dyDescent="0.3">
      <c r="B20" s="92">
        <v>12</v>
      </c>
      <c r="C20" s="93">
        <v>45544</v>
      </c>
      <c r="D20" s="94">
        <v>1221.3499999999999</v>
      </c>
      <c r="E20" s="94">
        <v>1071.1199999999999</v>
      </c>
      <c r="F20" s="94">
        <f t="shared" si="0"/>
        <v>150.23000000000002</v>
      </c>
    </row>
    <row r="21" spans="2:6" ht="16.5" thickTop="1" thickBot="1" x14ac:dyDescent="0.3">
      <c r="B21" s="92">
        <v>13</v>
      </c>
      <c r="C21" s="93">
        <v>45574</v>
      </c>
      <c r="D21" s="94">
        <v>1221.3499999999999</v>
      </c>
      <c r="E21" s="94">
        <v>1071.1199999999999</v>
      </c>
      <c r="F21" s="94">
        <f t="shared" si="0"/>
        <v>150.23000000000002</v>
      </c>
    </row>
    <row r="22" spans="2:6" ht="16.5" thickTop="1" thickBot="1" x14ac:dyDescent="0.3">
      <c r="B22" s="92">
        <v>14</v>
      </c>
      <c r="C22" s="93">
        <v>45605</v>
      </c>
      <c r="D22" s="94">
        <v>1221.3499999999999</v>
      </c>
      <c r="E22" s="94">
        <v>1071.1199999999999</v>
      </c>
      <c r="F22" s="94">
        <f t="shared" si="0"/>
        <v>150.23000000000002</v>
      </c>
    </row>
    <row r="23" spans="2:6" ht="16.5" thickTop="1" thickBot="1" x14ac:dyDescent="0.3">
      <c r="B23" s="92">
        <v>15</v>
      </c>
      <c r="C23" s="93">
        <v>45635</v>
      </c>
      <c r="D23" s="94">
        <v>1221.3499999999999</v>
      </c>
      <c r="E23" s="94">
        <v>1071.1199999999999</v>
      </c>
      <c r="F23" s="94">
        <f t="shared" si="0"/>
        <v>150.23000000000002</v>
      </c>
    </row>
    <row r="24" spans="2:6" ht="16.5" thickTop="1" thickBot="1" x14ac:dyDescent="0.3">
      <c r="B24" s="92">
        <v>16</v>
      </c>
      <c r="C24" s="93">
        <v>45666</v>
      </c>
      <c r="D24" s="94">
        <v>1221.3499999999999</v>
      </c>
      <c r="E24" s="94">
        <v>1071.1199999999999</v>
      </c>
      <c r="F24" s="94">
        <f t="shared" si="0"/>
        <v>150.23000000000002</v>
      </c>
    </row>
    <row r="25" spans="2:6" ht="16.5" thickTop="1" thickBot="1" x14ac:dyDescent="0.3">
      <c r="B25" s="92">
        <v>17</v>
      </c>
      <c r="C25" s="93">
        <v>45697</v>
      </c>
      <c r="D25" s="94">
        <v>1221.3499999999999</v>
      </c>
      <c r="E25" s="94">
        <v>1071.1199999999999</v>
      </c>
      <c r="F25" s="94">
        <f t="shared" si="0"/>
        <v>150.23000000000002</v>
      </c>
    </row>
    <row r="26" spans="2:6" ht="16.5" thickTop="1" thickBot="1" x14ac:dyDescent="0.3">
      <c r="B26" s="92">
        <v>18</v>
      </c>
      <c r="C26" s="93">
        <v>45725</v>
      </c>
      <c r="D26" s="94">
        <v>1221.3499999999999</v>
      </c>
      <c r="E26" s="94">
        <v>1071.1199999999999</v>
      </c>
      <c r="F26" s="94">
        <f t="shared" si="0"/>
        <v>150.23000000000002</v>
      </c>
    </row>
    <row r="27" spans="2:6" ht="16.5" thickTop="1" thickBot="1" x14ac:dyDescent="0.3">
      <c r="B27" s="92">
        <v>19</v>
      </c>
      <c r="C27" s="93">
        <v>45756</v>
      </c>
      <c r="D27" s="94">
        <v>1221.3499999999999</v>
      </c>
      <c r="E27" s="94">
        <v>1071.1199999999999</v>
      </c>
      <c r="F27" s="94">
        <f t="shared" si="0"/>
        <v>150.23000000000002</v>
      </c>
    </row>
    <row r="28" spans="2:6" ht="16.5" thickTop="1" thickBot="1" x14ac:dyDescent="0.3">
      <c r="B28" s="92">
        <v>20</v>
      </c>
      <c r="C28" s="93">
        <v>45786</v>
      </c>
      <c r="D28" s="94">
        <v>1221.3499999999999</v>
      </c>
      <c r="E28" s="94">
        <v>1071.1199999999999</v>
      </c>
      <c r="F28" s="94">
        <f t="shared" si="0"/>
        <v>150.23000000000002</v>
      </c>
    </row>
    <row r="29" spans="2:6" ht="16.5" thickTop="1" thickBot="1" x14ac:dyDescent="0.3">
      <c r="B29" s="92">
        <v>21</v>
      </c>
      <c r="C29" s="93">
        <v>45817</v>
      </c>
      <c r="D29" s="94">
        <v>1221.3499999999999</v>
      </c>
      <c r="E29" s="94">
        <v>1071.1199999999999</v>
      </c>
      <c r="F29" s="94">
        <f t="shared" si="0"/>
        <v>150.23000000000002</v>
      </c>
    </row>
    <row r="30" spans="2:6" ht="16.5" thickTop="1" thickBot="1" x14ac:dyDescent="0.3">
      <c r="B30" s="92">
        <v>22</v>
      </c>
      <c r="C30" s="93">
        <v>45847</v>
      </c>
      <c r="D30" s="94">
        <v>1221.3499999999999</v>
      </c>
      <c r="E30" s="94">
        <v>1071.1199999999999</v>
      </c>
      <c r="F30" s="94">
        <f t="shared" si="0"/>
        <v>150.23000000000002</v>
      </c>
    </row>
    <row r="31" spans="2:6" ht="16.5" thickTop="1" thickBot="1" x14ac:dyDescent="0.3">
      <c r="B31" s="92">
        <v>23</v>
      </c>
      <c r="C31" s="93">
        <v>45878</v>
      </c>
      <c r="D31" s="94">
        <v>1221.3499999999999</v>
      </c>
      <c r="E31" s="94">
        <v>1071.1199999999999</v>
      </c>
      <c r="F31" s="94">
        <f t="shared" si="0"/>
        <v>150.23000000000002</v>
      </c>
    </row>
    <row r="32" spans="2:6" ht="16.5" thickTop="1" thickBot="1" x14ac:dyDescent="0.3">
      <c r="B32" s="92">
        <v>24</v>
      </c>
      <c r="C32" s="93">
        <v>45909</v>
      </c>
      <c r="D32" s="94">
        <v>1221.3499999999999</v>
      </c>
      <c r="E32" s="94">
        <v>1071.1199999999999</v>
      </c>
      <c r="F32" s="94">
        <f t="shared" si="0"/>
        <v>150.23000000000002</v>
      </c>
    </row>
    <row r="33" spans="2:6" ht="16.5" thickTop="1" thickBot="1" x14ac:dyDescent="0.3">
      <c r="B33" s="92">
        <v>25</v>
      </c>
      <c r="C33" s="93">
        <v>45939</v>
      </c>
      <c r="D33" s="94">
        <v>1221.3499999999999</v>
      </c>
      <c r="E33" s="94">
        <v>1071.1199999999999</v>
      </c>
      <c r="F33" s="94">
        <f t="shared" si="0"/>
        <v>150.23000000000002</v>
      </c>
    </row>
    <row r="34" spans="2:6" ht="16.5" thickTop="1" thickBot="1" x14ac:dyDescent="0.3">
      <c r="B34" s="92">
        <v>26</v>
      </c>
      <c r="C34" s="93">
        <v>45970</v>
      </c>
      <c r="D34" s="94">
        <v>1221.3499999999999</v>
      </c>
      <c r="E34" s="94">
        <v>1071.1199999999999</v>
      </c>
      <c r="F34" s="94">
        <f t="shared" si="0"/>
        <v>150.23000000000002</v>
      </c>
    </row>
    <row r="35" spans="2:6" ht="16.5" thickTop="1" thickBot="1" x14ac:dyDescent="0.3">
      <c r="B35" s="92">
        <v>27</v>
      </c>
      <c r="C35" s="93">
        <v>46000</v>
      </c>
      <c r="D35" s="94">
        <v>1221.3499999999999</v>
      </c>
      <c r="E35" s="94">
        <v>1071.1199999999999</v>
      </c>
      <c r="F35" s="94">
        <f t="shared" si="0"/>
        <v>150.23000000000002</v>
      </c>
    </row>
    <row r="36" spans="2:6" ht="16.5" thickTop="1" thickBot="1" x14ac:dyDescent="0.3">
      <c r="B36" s="92">
        <v>28</v>
      </c>
      <c r="C36" s="93">
        <v>46031</v>
      </c>
      <c r="D36" s="94">
        <v>1221.3499999999999</v>
      </c>
      <c r="E36" s="94">
        <v>1071.1199999999999</v>
      </c>
      <c r="F36" s="94">
        <f t="shared" si="0"/>
        <v>150.23000000000002</v>
      </c>
    </row>
    <row r="37" spans="2:6" ht="16.5" thickTop="1" thickBot="1" x14ac:dyDescent="0.3">
      <c r="B37" s="92">
        <v>29</v>
      </c>
      <c r="C37" s="93">
        <v>46062</v>
      </c>
      <c r="D37" s="94">
        <v>1221.3499999999999</v>
      </c>
      <c r="E37" s="94">
        <v>1071.1199999999999</v>
      </c>
      <c r="F37" s="94">
        <f t="shared" si="0"/>
        <v>150.23000000000002</v>
      </c>
    </row>
    <row r="38" spans="2:6" ht="16.5" thickTop="1" thickBot="1" x14ac:dyDescent="0.3">
      <c r="B38" s="92">
        <v>30</v>
      </c>
      <c r="C38" s="93">
        <v>46090</v>
      </c>
      <c r="D38" s="94">
        <v>1221.3499999999999</v>
      </c>
      <c r="E38" s="94">
        <v>1071.1199999999999</v>
      </c>
      <c r="F38" s="94">
        <f t="shared" si="0"/>
        <v>150.23000000000002</v>
      </c>
    </row>
    <row r="39" spans="2:6" ht="16.5" thickTop="1" thickBot="1" x14ac:dyDescent="0.3">
      <c r="B39" s="92">
        <v>31</v>
      </c>
      <c r="C39" s="93">
        <v>46121</v>
      </c>
      <c r="D39" s="94">
        <v>1221.3499999999999</v>
      </c>
      <c r="E39" s="94">
        <v>1071.1199999999999</v>
      </c>
      <c r="F39" s="94">
        <f t="shared" si="0"/>
        <v>150.23000000000002</v>
      </c>
    </row>
    <row r="40" spans="2:6" ht="16.5" thickTop="1" thickBot="1" x14ac:dyDescent="0.3">
      <c r="B40" s="92">
        <v>32</v>
      </c>
      <c r="C40" s="93">
        <v>46151</v>
      </c>
      <c r="D40" s="94">
        <v>1221.3499999999999</v>
      </c>
      <c r="E40" s="94">
        <v>1071.1199999999999</v>
      </c>
      <c r="F40" s="94">
        <f t="shared" si="0"/>
        <v>150.23000000000002</v>
      </c>
    </row>
    <row r="41" spans="2:6" ht="16.5" thickTop="1" thickBot="1" x14ac:dyDescent="0.3">
      <c r="B41" s="92">
        <v>33</v>
      </c>
      <c r="C41" s="93">
        <v>46182</v>
      </c>
      <c r="D41" s="94">
        <v>1221.3499999999999</v>
      </c>
      <c r="E41" s="94">
        <v>1071.1199999999999</v>
      </c>
      <c r="F41" s="94">
        <f t="shared" si="0"/>
        <v>150.23000000000002</v>
      </c>
    </row>
    <row r="42" spans="2:6" ht="16.5" thickTop="1" thickBot="1" x14ac:dyDescent="0.3">
      <c r="B42" s="92">
        <v>34</v>
      </c>
      <c r="C42" s="93">
        <v>46212</v>
      </c>
      <c r="D42" s="94">
        <v>1221.3499999999999</v>
      </c>
      <c r="E42" s="94">
        <v>1071.1199999999999</v>
      </c>
      <c r="F42" s="94">
        <f t="shared" si="0"/>
        <v>150.23000000000002</v>
      </c>
    </row>
    <row r="43" spans="2:6" ht="16.5" thickTop="1" thickBot="1" x14ac:dyDescent="0.3">
      <c r="B43" s="92">
        <v>35</v>
      </c>
      <c r="C43" s="93">
        <v>46243</v>
      </c>
      <c r="D43" s="94">
        <v>1221.3499999999999</v>
      </c>
      <c r="E43" s="94">
        <v>1071.1199999999999</v>
      </c>
      <c r="F43" s="94">
        <f t="shared" si="0"/>
        <v>150.23000000000002</v>
      </c>
    </row>
    <row r="44" spans="2:6" ht="16.5" thickTop="1" thickBot="1" x14ac:dyDescent="0.3">
      <c r="B44" s="92">
        <v>36</v>
      </c>
      <c r="C44" s="93">
        <v>46274</v>
      </c>
      <c r="D44" s="94">
        <v>1221.3499999999999</v>
      </c>
      <c r="E44" s="94">
        <v>1071.1199999999999</v>
      </c>
      <c r="F44" s="94">
        <f t="shared" si="0"/>
        <v>150.23000000000002</v>
      </c>
    </row>
    <row r="45" spans="2:6" ht="16.5" thickTop="1" thickBot="1" x14ac:dyDescent="0.3">
      <c r="B45" s="92">
        <v>37</v>
      </c>
      <c r="C45" s="93">
        <v>46304</v>
      </c>
      <c r="D45" s="94">
        <v>1221.3499999999999</v>
      </c>
      <c r="E45" s="94">
        <v>1071.1199999999999</v>
      </c>
      <c r="F45" s="94">
        <f t="shared" si="0"/>
        <v>150.23000000000002</v>
      </c>
    </row>
    <row r="46" spans="2:6" ht="16.5" thickTop="1" thickBot="1" x14ac:dyDescent="0.3">
      <c r="B46" s="92">
        <v>38</v>
      </c>
      <c r="C46" s="93">
        <v>46335</v>
      </c>
      <c r="D46" s="94">
        <v>1221.3499999999999</v>
      </c>
      <c r="E46" s="94">
        <v>1071.1199999999999</v>
      </c>
      <c r="F46" s="94">
        <f t="shared" si="0"/>
        <v>150.23000000000002</v>
      </c>
    </row>
    <row r="47" spans="2:6" ht="16.5" thickTop="1" thickBot="1" x14ac:dyDescent="0.3">
      <c r="B47" s="92">
        <v>39</v>
      </c>
      <c r="C47" s="93">
        <v>46365</v>
      </c>
      <c r="D47" s="94">
        <v>1221.3499999999999</v>
      </c>
      <c r="E47" s="94">
        <v>1071.1199999999999</v>
      </c>
      <c r="F47" s="94">
        <f t="shared" si="0"/>
        <v>150.23000000000002</v>
      </c>
    </row>
    <row r="48" spans="2:6" ht="16.5" thickTop="1" thickBot="1" x14ac:dyDescent="0.3">
      <c r="B48" s="92">
        <v>40</v>
      </c>
      <c r="C48" s="93">
        <v>46396</v>
      </c>
      <c r="D48" s="94">
        <v>1221.3499999999999</v>
      </c>
      <c r="E48" s="94">
        <v>1071.1199999999999</v>
      </c>
      <c r="F48" s="94">
        <f t="shared" si="0"/>
        <v>150.23000000000002</v>
      </c>
    </row>
    <row r="49" spans="2:6" ht="16.5" thickTop="1" thickBot="1" x14ac:dyDescent="0.3">
      <c r="B49" s="92">
        <v>41</v>
      </c>
      <c r="C49" s="93">
        <v>46427</v>
      </c>
      <c r="D49" s="94">
        <v>1221.3499999999999</v>
      </c>
      <c r="E49" s="94">
        <v>1071.1199999999999</v>
      </c>
      <c r="F49" s="94">
        <f t="shared" si="0"/>
        <v>150.23000000000002</v>
      </c>
    </row>
    <row r="50" spans="2:6" ht="16.5" thickTop="1" thickBot="1" x14ac:dyDescent="0.3">
      <c r="B50" s="92">
        <v>42</v>
      </c>
      <c r="C50" s="93">
        <v>46455</v>
      </c>
      <c r="D50" s="94">
        <v>1221.3499999999999</v>
      </c>
      <c r="E50" s="94">
        <v>1071.1199999999999</v>
      </c>
      <c r="F50" s="94">
        <f t="shared" si="0"/>
        <v>150.23000000000002</v>
      </c>
    </row>
    <row r="51" spans="2:6" ht="16.5" thickTop="1" thickBot="1" x14ac:dyDescent="0.3">
      <c r="B51" s="92">
        <v>43</v>
      </c>
      <c r="C51" s="93">
        <v>46486</v>
      </c>
      <c r="D51" s="94">
        <v>1221.3499999999999</v>
      </c>
      <c r="E51" s="94">
        <v>1071.1199999999999</v>
      </c>
      <c r="F51" s="94">
        <f t="shared" si="0"/>
        <v>150.23000000000002</v>
      </c>
    </row>
    <row r="52" spans="2:6" ht="16.5" thickTop="1" thickBot="1" x14ac:dyDescent="0.3">
      <c r="B52" s="92">
        <v>44</v>
      </c>
      <c r="C52" s="93">
        <v>46516</v>
      </c>
      <c r="D52" s="94">
        <v>1221.3499999999999</v>
      </c>
      <c r="E52" s="94">
        <v>1071.1199999999999</v>
      </c>
      <c r="F52" s="94">
        <f t="shared" si="0"/>
        <v>150.23000000000002</v>
      </c>
    </row>
    <row r="53" spans="2:6" ht="16.5" thickTop="1" thickBot="1" x14ac:dyDescent="0.3">
      <c r="B53" s="92">
        <v>45</v>
      </c>
      <c r="C53" s="93">
        <v>46547</v>
      </c>
      <c r="D53" s="94">
        <v>1221.3499999999999</v>
      </c>
      <c r="E53" s="94">
        <v>1071.1199999999999</v>
      </c>
      <c r="F53" s="94">
        <f t="shared" si="0"/>
        <v>150.23000000000002</v>
      </c>
    </row>
    <row r="54" spans="2:6" ht="16.5" thickTop="1" thickBot="1" x14ac:dyDescent="0.3">
      <c r="B54" s="92">
        <v>46</v>
      </c>
      <c r="C54" s="93">
        <v>46577</v>
      </c>
      <c r="D54" s="94">
        <v>1221.3499999999999</v>
      </c>
      <c r="E54" s="94">
        <v>1071.1199999999999</v>
      </c>
      <c r="F54" s="94">
        <f t="shared" si="0"/>
        <v>150.23000000000002</v>
      </c>
    </row>
    <row r="55" spans="2:6" ht="16.5" thickTop="1" thickBot="1" x14ac:dyDescent="0.3">
      <c r="B55" s="92">
        <v>47</v>
      </c>
      <c r="C55" s="93">
        <v>46608</v>
      </c>
      <c r="D55" s="94">
        <v>1221.3499999999999</v>
      </c>
      <c r="E55" s="94">
        <v>1071.1199999999999</v>
      </c>
      <c r="F55" s="94">
        <f t="shared" si="0"/>
        <v>150.23000000000002</v>
      </c>
    </row>
    <row r="56" spans="2:6" ht="16.5" thickTop="1" thickBot="1" x14ac:dyDescent="0.3">
      <c r="B56" s="92">
        <v>48</v>
      </c>
      <c r="C56" s="93">
        <v>46639</v>
      </c>
      <c r="D56" s="94">
        <v>1221.3499999999999</v>
      </c>
      <c r="E56" s="94">
        <v>1071.1199999999999</v>
      </c>
      <c r="F56" s="94">
        <f t="shared" si="0"/>
        <v>150.23000000000002</v>
      </c>
    </row>
    <row r="57" spans="2:6" ht="16.5" thickTop="1" thickBot="1" x14ac:dyDescent="0.3">
      <c r="B57" s="92">
        <v>49</v>
      </c>
      <c r="C57" s="93">
        <v>46669</v>
      </c>
      <c r="D57" s="94">
        <v>1221.3499999999999</v>
      </c>
      <c r="E57" s="94">
        <v>1071.1199999999999</v>
      </c>
      <c r="F57" s="94">
        <f t="shared" si="0"/>
        <v>150.23000000000002</v>
      </c>
    </row>
    <row r="58" spans="2:6" ht="16.5" thickTop="1" thickBot="1" x14ac:dyDescent="0.3">
      <c r="B58" s="92">
        <v>50</v>
      </c>
      <c r="C58" s="93">
        <v>46700</v>
      </c>
      <c r="D58" s="94">
        <v>1221.3499999999999</v>
      </c>
      <c r="E58" s="94">
        <v>1071.1199999999999</v>
      </c>
      <c r="F58" s="94">
        <f t="shared" si="0"/>
        <v>150.23000000000002</v>
      </c>
    </row>
    <row r="59" spans="2:6" ht="16.5" thickTop="1" thickBot="1" x14ac:dyDescent="0.3">
      <c r="B59" s="92">
        <v>51</v>
      </c>
      <c r="C59" s="93">
        <v>46730</v>
      </c>
      <c r="D59" s="94">
        <v>1221.3499999999999</v>
      </c>
      <c r="E59" s="94">
        <v>1071.1199999999999</v>
      </c>
      <c r="F59" s="94">
        <f t="shared" si="0"/>
        <v>150.23000000000002</v>
      </c>
    </row>
    <row r="60" spans="2:6" ht="16.5" thickTop="1" thickBot="1" x14ac:dyDescent="0.3">
      <c r="B60" s="92">
        <v>52</v>
      </c>
      <c r="C60" s="93">
        <v>46761</v>
      </c>
      <c r="D60" s="94">
        <v>1221.3499999999999</v>
      </c>
      <c r="E60" s="94">
        <v>1071.1199999999999</v>
      </c>
      <c r="F60" s="94">
        <f t="shared" si="0"/>
        <v>150.23000000000002</v>
      </c>
    </row>
    <row r="61" spans="2:6" ht="16.5" thickTop="1" thickBot="1" x14ac:dyDescent="0.3">
      <c r="B61" s="92">
        <v>53</v>
      </c>
      <c r="C61" s="93">
        <v>46792</v>
      </c>
      <c r="D61" s="94">
        <v>1221.3499999999999</v>
      </c>
      <c r="E61" s="94">
        <v>1071.1199999999999</v>
      </c>
      <c r="F61" s="94">
        <f t="shared" si="0"/>
        <v>150.23000000000002</v>
      </c>
    </row>
    <row r="62" spans="2:6" ht="16.5" thickTop="1" thickBot="1" x14ac:dyDescent="0.3">
      <c r="B62" s="92">
        <v>54</v>
      </c>
      <c r="C62" s="93">
        <v>46821</v>
      </c>
      <c r="D62" s="94">
        <v>1221.3499999999999</v>
      </c>
      <c r="E62" s="94">
        <v>1071.1199999999999</v>
      </c>
      <c r="F62" s="94">
        <f t="shared" si="0"/>
        <v>150.23000000000002</v>
      </c>
    </row>
    <row r="63" spans="2:6" ht="16.5" thickTop="1" thickBot="1" x14ac:dyDescent="0.3">
      <c r="B63" s="92">
        <v>55</v>
      </c>
      <c r="C63" s="93">
        <v>46852</v>
      </c>
      <c r="D63" s="94">
        <v>1221.3499999999999</v>
      </c>
      <c r="E63" s="94">
        <v>1071.1199999999999</v>
      </c>
      <c r="F63" s="94">
        <f t="shared" si="0"/>
        <v>150.23000000000002</v>
      </c>
    </row>
    <row r="64" spans="2:6" ht="17.25" thickTop="1" thickBot="1" x14ac:dyDescent="0.3">
      <c r="B64" s="198"/>
      <c r="C64" s="199"/>
      <c r="D64" s="197" t="s">
        <v>50</v>
      </c>
      <c r="E64" s="197"/>
      <c r="F64" s="99">
        <f>SUM(F9:F63)</f>
        <v>8262.6499999999887</v>
      </c>
    </row>
    <row r="65" spans="2:6" ht="17.25" thickTop="1" thickBot="1" x14ac:dyDescent="0.3">
      <c r="B65" s="200"/>
      <c r="C65" s="201"/>
      <c r="D65" s="197" t="s">
        <v>51</v>
      </c>
      <c r="E65" s="197"/>
      <c r="F65" s="99">
        <f>F64*2</f>
        <v>16525.299999999977</v>
      </c>
    </row>
    <row r="66" spans="2:6" ht="16.5" thickTop="1" thickBot="1" x14ac:dyDescent="0.3">
      <c r="B66" s="92">
        <v>58</v>
      </c>
      <c r="C66" s="93">
        <v>46882</v>
      </c>
      <c r="D66" s="95">
        <v>1221.3499999999999</v>
      </c>
      <c r="E66" s="94">
        <v>1071.1199999999999</v>
      </c>
      <c r="F66" s="101"/>
    </row>
    <row r="67" spans="2:6" ht="16.5" thickTop="1" thickBot="1" x14ac:dyDescent="0.3">
      <c r="B67" s="92">
        <v>59</v>
      </c>
      <c r="C67" s="93">
        <v>45814</v>
      </c>
      <c r="D67" s="95">
        <v>1221.3499999999999</v>
      </c>
      <c r="E67" s="94">
        <v>1071.1199999999999</v>
      </c>
      <c r="F67" s="102"/>
    </row>
    <row r="68" spans="2:6" ht="16.5" thickTop="1" thickBot="1" x14ac:dyDescent="0.3">
      <c r="B68" s="92">
        <v>60</v>
      </c>
      <c r="C68" s="93">
        <v>44746</v>
      </c>
      <c r="D68" s="95">
        <v>1221.3499999999999</v>
      </c>
      <c r="E68" s="94">
        <v>1071.1199999999999</v>
      </c>
      <c r="F68" s="101"/>
    </row>
    <row r="69" spans="2:6" ht="16.5" thickTop="1" thickBot="1" x14ac:dyDescent="0.3">
      <c r="B69" s="92">
        <v>61</v>
      </c>
      <c r="C69" s="93">
        <v>43678</v>
      </c>
      <c r="D69" s="95">
        <v>1221.3499999999999</v>
      </c>
      <c r="E69" s="94">
        <v>1071.1199999999999</v>
      </c>
      <c r="F69" s="101"/>
    </row>
    <row r="70" spans="2:6" ht="16.5" thickTop="1" thickBot="1" x14ac:dyDescent="0.3">
      <c r="B70" s="92">
        <v>62</v>
      </c>
      <c r="C70" s="93">
        <v>42610</v>
      </c>
      <c r="D70" s="95">
        <v>1221.3499999999999</v>
      </c>
      <c r="E70" s="94">
        <v>1071.1199999999999</v>
      </c>
      <c r="F70" s="101"/>
    </row>
    <row r="71" spans="2:6" ht="16.5" thickTop="1" thickBot="1" x14ac:dyDescent="0.3">
      <c r="B71" s="92">
        <v>63</v>
      </c>
      <c r="C71" s="93">
        <v>41542</v>
      </c>
      <c r="D71" s="95">
        <v>1221.3499999999999</v>
      </c>
      <c r="E71" s="94">
        <v>1071.1199999999999</v>
      </c>
      <c r="F71" s="101"/>
    </row>
    <row r="72" spans="2:6" ht="16.5" thickTop="1" thickBot="1" x14ac:dyDescent="0.3">
      <c r="B72" s="92">
        <v>64</v>
      </c>
      <c r="C72" s="93">
        <v>40474</v>
      </c>
      <c r="D72" s="95">
        <v>1221.3499999999999</v>
      </c>
      <c r="E72" s="94">
        <v>1071.1199999999999</v>
      </c>
      <c r="F72" s="101"/>
    </row>
    <row r="73" spans="2:6" ht="16.5" thickTop="1" thickBot="1" x14ac:dyDescent="0.3">
      <c r="B73" s="92">
        <v>65</v>
      </c>
      <c r="C73" s="93">
        <v>39406</v>
      </c>
      <c r="D73" s="95">
        <v>1221.3499999999999</v>
      </c>
      <c r="E73" s="94">
        <v>1071.1199999999999</v>
      </c>
      <c r="F73" s="101"/>
    </row>
    <row r="74" spans="2:6" ht="16.5" thickTop="1" thickBot="1" x14ac:dyDescent="0.3">
      <c r="B74" s="92">
        <v>66</v>
      </c>
      <c r="C74" s="93">
        <v>38338</v>
      </c>
      <c r="D74" s="95">
        <v>1221.3499999999999</v>
      </c>
      <c r="E74" s="94">
        <v>1071.1199999999999</v>
      </c>
      <c r="F74" s="101"/>
    </row>
    <row r="75" spans="2:6" ht="16.5" thickTop="1" thickBot="1" x14ac:dyDescent="0.3">
      <c r="B75" s="92">
        <v>67</v>
      </c>
      <c r="C75" s="93">
        <v>37270</v>
      </c>
      <c r="D75" s="95">
        <v>1221.3499999999999</v>
      </c>
      <c r="E75" s="94">
        <v>1071.1199999999999</v>
      </c>
      <c r="F75" s="101"/>
    </row>
    <row r="76" spans="2:6" ht="16.5" thickTop="1" thickBot="1" x14ac:dyDescent="0.3">
      <c r="B76" s="92">
        <v>68</v>
      </c>
      <c r="C76" s="93">
        <v>36202</v>
      </c>
      <c r="D76" s="95">
        <v>1221.3499999999999</v>
      </c>
      <c r="E76" s="94">
        <v>1071.1199999999999</v>
      </c>
      <c r="F76" s="101"/>
    </row>
    <row r="77" spans="2:6" ht="16.5" thickTop="1" thickBot="1" x14ac:dyDescent="0.3">
      <c r="B77" s="92">
        <v>69</v>
      </c>
      <c r="C77" s="93">
        <v>35134</v>
      </c>
      <c r="D77" s="95">
        <v>1221.3499999999999</v>
      </c>
      <c r="E77" s="94">
        <v>1071.1199999999999</v>
      </c>
      <c r="F77" s="101"/>
    </row>
    <row r="78" spans="2:6" ht="16.5" thickTop="1" thickBot="1" x14ac:dyDescent="0.3">
      <c r="B78" s="92">
        <v>70</v>
      </c>
      <c r="C78" s="93">
        <v>34066</v>
      </c>
      <c r="D78" s="95">
        <v>1221.3499999999999</v>
      </c>
      <c r="E78" s="94">
        <v>1071.1199999999999</v>
      </c>
      <c r="F78" s="101"/>
    </row>
    <row r="79" spans="2:6" ht="16.5" thickTop="1" thickBot="1" x14ac:dyDescent="0.3">
      <c r="B79" s="92">
        <v>71</v>
      </c>
      <c r="C79" s="93">
        <v>32998</v>
      </c>
      <c r="D79" s="95">
        <v>1221.3499999999999</v>
      </c>
      <c r="E79" s="94">
        <v>1071.1199999999999</v>
      </c>
      <c r="F79" s="101"/>
    </row>
    <row r="80" spans="2:6" ht="16.5" thickTop="1" thickBot="1" x14ac:dyDescent="0.3">
      <c r="B80" s="92">
        <v>72</v>
      </c>
      <c r="C80" s="93">
        <v>31930</v>
      </c>
      <c r="D80" s="95">
        <v>1221.3499999999999</v>
      </c>
      <c r="E80" s="94">
        <v>1071.1199999999999</v>
      </c>
      <c r="F80" s="101"/>
    </row>
    <row r="81" spans="2:6" ht="16.5" thickTop="1" thickBot="1" x14ac:dyDescent="0.3">
      <c r="B81" s="92">
        <v>73</v>
      </c>
      <c r="C81" s="93">
        <v>30862</v>
      </c>
      <c r="D81" s="95">
        <v>1221.3499999999999</v>
      </c>
      <c r="E81" s="94">
        <v>1071.1199999999999</v>
      </c>
      <c r="F81" s="101"/>
    </row>
    <row r="82" spans="2:6" ht="16.5" thickTop="1" thickBot="1" x14ac:dyDescent="0.3">
      <c r="B82" s="92">
        <v>74</v>
      </c>
      <c r="C82" s="93">
        <v>29794</v>
      </c>
      <c r="D82" s="95">
        <v>1221.3499999999999</v>
      </c>
      <c r="E82" s="94">
        <v>1071.1199999999999</v>
      </c>
      <c r="F82" s="101"/>
    </row>
    <row r="83" spans="2:6" ht="16.5" thickTop="1" thickBot="1" x14ac:dyDescent="0.3">
      <c r="B83" s="92">
        <v>75</v>
      </c>
      <c r="C83" s="93">
        <v>28726</v>
      </c>
      <c r="D83" s="95">
        <v>1221.3499999999999</v>
      </c>
      <c r="E83" s="94">
        <v>1071.1199999999999</v>
      </c>
      <c r="F83" s="101"/>
    </row>
    <row r="84" spans="2:6" ht="16.5" thickTop="1" thickBot="1" x14ac:dyDescent="0.3">
      <c r="B84" s="92">
        <v>76</v>
      </c>
      <c r="C84" s="93">
        <v>27658</v>
      </c>
      <c r="D84" s="95">
        <v>1221.3499999999999</v>
      </c>
      <c r="E84" s="94">
        <v>1071.1199999999999</v>
      </c>
      <c r="F84" s="101"/>
    </row>
    <row r="85" spans="2:6" ht="16.5" thickTop="1" thickBot="1" x14ac:dyDescent="0.3">
      <c r="B85" s="92">
        <v>77</v>
      </c>
      <c r="C85" s="93">
        <v>26590</v>
      </c>
      <c r="D85" s="95">
        <v>1221.3499999999999</v>
      </c>
      <c r="E85" s="94">
        <v>1071.1199999999999</v>
      </c>
      <c r="F85" s="101"/>
    </row>
    <row r="86" spans="2:6" ht="16.5" thickTop="1" thickBot="1" x14ac:dyDescent="0.3">
      <c r="B86" s="92">
        <v>78</v>
      </c>
      <c r="C86" s="93">
        <v>25522</v>
      </c>
      <c r="D86" s="95">
        <v>1221.3499999999999</v>
      </c>
      <c r="E86" s="94">
        <v>1071.1199999999999</v>
      </c>
      <c r="F86" s="101"/>
    </row>
    <row r="87" spans="2:6" ht="16.5" thickTop="1" thickBot="1" x14ac:dyDescent="0.3">
      <c r="B87" s="92">
        <v>79</v>
      </c>
      <c r="C87" s="93">
        <v>24454</v>
      </c>
      <c r="D87" s="95">
        <v>1221.3499999999999</v>
      </c>
      <c r="E87" s="94">
        <v>1071.1199999999999</v>
      </c>
      <c r="F87" s="101"/>
    </row>
    <row r="88" spans="2:6" ht="16.5" thickTop="1" thickBot="1" x14ac:dyDescent="0.3">
      <c r="B88" s="92">
        <v>80</v>
      </c>
      <c r="C88" s="93">
        <v>23386</v>
      </c>
      <c r="D88" s="95">
        <v>1221.3499999999999</v>
      </c>
      <c r="E88" s="94">
        <v>1071.1199999999999</v>
      </c>
      <c r="F88" s="101"/>
    </row>
    <row r="89" spans="2:6" ht="16.5" thickTop="1" thickBot="1" x14ac:dyDescent="0.3">
      <c r="B89" s="92">
        <v>81</v>
      </c>
      <c r="C89" s="93">
        <v>22318</v>
      </c>
      <c r="D89" s="95">
        <v>1221.3499999999999</v>
      </c>
      <c r="E89" s="94">
        <v>1071.1199999999999</v>
      </c>
      <c r="F89" s="101"/>
    </row>
    <row r="90" spans="2:6" ht="16.5" thickTop="1" thickBot="1" x14ac:dyDescent="0.3">
      <c r="B90" s="92">
        <v>82</v>
      </c>
      <c r="C90" s="93">
        <v>21250</v>
      </c>
      <c r="D90" s="95">
        <v>1221.3499999999999</v>
      </c>
      <c r="E90" s="94">
        <v>1071.1199999999999</v>
      </c>
      <c r="F90" s="101"/>
    </row>
    <row r="91" spans="2:6" ht="16.5" thickTop="1" thickBot="1" x14ac:dyDescent="0.3">
      <c r="B91" s="202" t="s">
        <v>134</v>
      </c>
      <c r="C91" s="203"/>
      <c r="D91" s="97">
        <f>SUM(D66:D90)</f>
        <v>30533.749999999985</v>
      </c>
      <c r="E91" s="98"/>
      <c r="F91" s="98"/>
    </row>
    <row r="92" spans="2:6" ht="16.5" thickTop="1" thickBot="1" x14ac:dyDescent="0.3">
      <c r="B92" s="204" t="s">
        <v>132</v>
      </c>
      <c r="C92" s="205"/>
      <c r="D92" s="206"/>
      <c r="E92" s="97">
        <f>SUM(E66:E91)</f>
        <v>26777.999999999982</v>
      </c>
      <c r="F92" s="98"/>
    </row>
    <row r="93" spans="2:6" ht="16.5" thickTop="1" thickBot="1" x14ac:dyDescent="0.3">
      <c r="C93" s="191" t="s">
        <v>133</v>
      </c>
      <c r="D93" s="192"/>
      <c r="E93" s="96">
        <f>D91-E92</f>
        <v>3755.7500000000036</v>
      </c>
      <c r="F93" s="96">
        <f>F65+E93</f>
        <v>20281.049999999981</v>
      </c>
    </row>
    <row r="94" spans="2:6" ht="15.75" thickTop="1" x14ac:dyDescent="0.25"/>
  </sheetData>
  <mergeCells count="10">
    <mergeCell ref="C93:D93"/>
    <mergeCell ref="B1:F1"/>
    <mergeCell ref="B2:F2"/>
    <mergeCell ref="B3:C3"/>
    <mergeCell ref="D3:F3"/>
    <mergeCell ref="D64:E64"/>
    <mergeCell ref="D65:E65"/>
    <mergeCell ref="B64:C65"/>
    <mergeCell ref="B91:C91"/>
    <mergeCell ref="B92:D9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3155-69BD-403A-AA2B-825E17BF297A}">
  <dimension ref="A1:E63"/>
  <sheetViews>
    <sheetView workbookViewId="0">
      <selection activeCell="G13" sqref="G13"/>
    </sheetView>
  </sheetViews>
  <sheetFormatPr defaultRowHeight="15" x14ac:dyDescent="0.25"/>
  <cols>
    <col min="1" max="1" width="1.85546875" style="2" customWidth="1"/>
    <col min="2" max="2" width="63.7109375" style="2" customWidth="1"/>
    <col min="3" max="3" width="19.5703125" style="2" customWidth="1"/>
    <col min="4" max="4" width="9.140625" style="2"/>
    <col min="5" max="5" width="3.42578125" style="2" customWidth="1"/>
  </cols>
  <sheetData>
    <row r="1" spans="1:4" ht="15.75" thickBot="1" x14ac:dyDescent="0.3"/>
    <row r="2" spans="1:4" ht="22.5" thickTop="1" thickBot="1" x14ac:dyDescent="0.4">
      <c r="B2" s="207" t="s">
        <v>65</v>
      </c>
      <c r="C2" s="207"/>
      <c r="D2" s="207"/>
    </row>
    <row r="3" spans="1:4" ht="22.5" thickTop="1" thickBot="1" x14ac:dyDescent="0.4">
      <c r="B3" s="37" t="s">
        <v>140</v>
      </c>
      <c r="C3" s="208">
        <f>'DADOS APLICAÇÃO CALCULO'!I38</f>
        <v>1.6400000000000001E-2</v>
      </c>
      <c r="D3" s="208"/>
    </row>
    <row r="4" spans="1:4" ht="22.5" thickTop="1" thickBot="1" x14ac:dyDescent="0.4">
      <c r="B4" s="37" t="s">
        <v>26</v>
      </c>
      <c r="C4" s="208">
        <f>'DADOS APLICAÇÃO CALCULO'!I23</f>
        <v>2.0851286173794104E-2</v>
      </c>
      <c r="D4" s="208"/>
    </row>
    <row r="5" spans="1:4" ht="22.5" thickTop="1" thickBot="1" x14ac:dyDescent="0.4">
      <c r="B5" s="37" t="s">
        <v>141</v>
      </c>
      <c r="C5" s="208">
        <f>((C4-C3)/C3)</f>
        <v>0.27141988864598188</v>
      </c>
      <c r="D5" s="208"/>
    </row>
    <row r="6" spans="1:4" ht="15.75" thickTop="1" x14ac:dyDescent="0.25">
      <c r="A6" s="38"/>
      <c r="D6" s="39"/>
    </row>
    <row r="7" spans="1:4" x14ac:dyDescent="0.25">
      <c r="A7" s="38"/>
      <c r="D7" s="38"/>
    </row>
    <row r="8" spans="1:4" x14ac:dyDescent="0.25">
      <c r="A8" s="38"/>
      <c r="D8" s="38"/>
    </row>
    <row r="9" spans="1:4" x14ac:dyDescent="0.25">
      <c r="A9" s="38"/>
      <c r="D9" s="38"/>
    </row>
    <row r="10" spans="1:4" x14ac:dyDescent="0.25">
      <c r="A10" s="38"/>
      <c r="D10" s="38"/>
    </row>
    <row r="11" spans="1:4" x14ac:dyDescent="0.25">
      <c r="A11" s="38"/>
      <c r="D11" s="38"/>
    </row>
    <row r="12" spans="1:4" x14ac:dyDescent="0.25">
      <c r="A12" s="38"/>
      <c r="D12" s="38"/>
    </row>
    <row r="13" spans="1:4" x14ac:dyDescent="0.25">
      <c r="A13" s="38"/>
      <c r="D13" s="38"/>
    </row>
    <row r="14" spans="1:4" x14ac:dyDescent="0.25">
      <c r="A14" s="38"/>
      <c r="D14" s="38"/>
    </row>
    <row r="15" spans="1:4" x14ac:dyDescent="0.25">
      <c r="A15" s="38"/>
      <c r="D15" s="38"/>
    </row>
    <row r="16" spans="1:4" x14ac:dyDescent="0.25">
      <c r="A16" s="38"/>
      <c r="D16" s="38"/>
    </row>
    <row r="17" spans="1:5" x14ac:dyDescent="0.25">
      <c r="A17" s="38"/>
      <c r="D17" s="38"/>
    </row>
    <row r="18" spans="1:5" x14ac:dyDescent="0.25">
      <c r="A18" s="38"/>
      <c r="D18" s="38"/>
    </row>
    <row r="19" spans="1:5" x14ac:dyDescent="0.25">
      <c r="A19" s="38"/>
      <c r="D19" s="38"/>
    </row>
    <row r="20" spans="1:5" x14ac:dyDescent="0.25">
      <c r="A20" s="38"/>
      <c r="D20" s="38"/>
    </row>
    <row r="21" spans="1:5" x14ac:dyDescent="0.25">
      <c r="A21" s="38"/>
      <c r="D21" s="38"/>
    </row>
    <row r="22" spans="1:5" x14ac:dyDescent="0.25">
      <c r="A22" s="38"/>
      <c r="D22" s="38"/>
    </row>
    <row r="23" spans="1:5" ht="15.75" thickBot="1" x14ac:dyDescent="0.3">
      <c r="A23" s="38"/>
      <c r="B23" s="40"/>
      <c r="C23" s="41"/>
      <c r="D23" s="42"/>
    </row>
    <row r="24" spans="1:5" ht="16.5" thickTop="1" thickBot="1" x14ac:dyDescent="0.3">
      <c r="A24" s="49"/>
      <c r="B24" s="50"/>
      <c r="C24" s="51"/>
      <c r="D24" s="52"/>
    </row>
    <row r="25" spans="1:5" ht="15.75" thickTop="1" x14ac:dyDescent="0.25">
      <c r="A25" s="38"/>
      <c r="B25"/>
      <c r="C25"/>
      <c r="D25" s="53"/>
      <c r="E25" s="54"/>
    </row>
    <row r="26" spans="1:5" x14ac:dyDescent="0.25">
      <c r="A26" s="38"/>
      <c r="D26" s="38"/>
    </row>
    <row r="27" spans="1:5" x14ac:dyDescent="0.25">
      <c r="A27" s="38"/>
      <c r="D27" s="38"/>
    </row>
    <row r="28" spans="1:5" x14ac:dyDescent="0.25">
      <c r="A28" s="38"/>
      <c r="D28" s="38"/>
    </row>
    <row r="29" spans="1:5" x14ac:dyDescent="0.25">
      <c r="A29" s="38"/>
      <c r="D29" s="38"/>
    </row>
    <row r="30" spans="1:5" x14ac:dyDescent="0.25">
      <c r="A30" s="38"/>
      <c r="D30" s="38"/>
    </row>
    <row r="31" spans="1:5" x14ac:dyDescent="0.25">
      <c r="A31" s="38"/>
      <c r="D31" s="38"/>
    </row>
    <row r="32" spans="1:5" x14ac:dyDescent="0.25">
      <c r="A32" s="38"/>
      <c r="D32" s="38"/>
    </row>
    <row r="33" spans="1:4" x14ac:dyDescent="0.25">
      <c r="A33" s="38"/>
      <c r="D33" s="38"/>
    </row>
    <row r="34" spans="1:4" x14ac:dyDescent="0.25">
      <c r="A34" s="38"/>
      <c r="D34" s="38"/>
    </row>
    <row r="35" spans="1:4" x14ac:dyDescent="0.25">
      <c r="A35" s="38"/>
      <c r="D35" s="38"/>
    </row>
    <row r="36" spans="1:4" x14ac:dyDescent="0.25">
      <c r="A36" s="38"/>
      <c r="D36" s="38"/>
    </row>
    <row r="37" spans="1:4" x14ac:dyDescent="0.25">
      <c r="A37" s="38"/>
      <c r="D37" s="38"/>
    </row>
    <row r="38" spans="1:4" x14ac:dyDescent="0.25">
      <c r="A38" s="38"/>
      <c r="D38" s="38"/>
    </row>
    <row r="39" spans="1:4" x14ac:dyDescent="0.25">
      <c r="A39" s="38"/>
      <c r="D39" s="43"/>
    </row>
    <row r="40" spans="1:4" ht="15.75" thickBot="1" x14ac:dyDescent="0.3">
      <c r="A40" s="38"/>
      <c r="B40" s="41"/>
      <c r="C40" s="41"/>
      <c r="D40" s="44"/>
    </row>
    <row r="41" spans="1:4" ht="15.75" thickTop="1" x14ac:dyDescent="0.25"/>
    <row r="60" spans="2:5" ht="15.75" thickBot="1" x14ac:dyDescent="0.3"/>
    <row r="61" spans="2:5" ht="16.5" thickTop="1" thickBot="1" x14ac:dyDescent="0.3">
      <c r="B61" s="46" t="s">
        <v>96</v>
      </c>
      <c r="C61" s="48">
        <f>C5</f>
        <v>0.27141988864598188</v>
      </c>
      <c r="D61"/>
      <c r="E61"/>
    </row>
    <row r="62" spans="2:5" ht="16.5" thickTop="1" thickBot="1" x14ac:dyDescent="0.3">
      <c r="B62" s="47"/>
      <c r="C62" s="55">
        <f>1-C61</f>
        <v>0.72858011135401812</v>
      </c>
      <c r="D62"/>
      <c r="E62"/>
    </row>
    <row r="63" spans="2:5" ht="15.75" thickTop="1" x14ac:dyDescent="0.25"/>
  </sheetData>
  <mergeCells count="4">
    <mergeCell ref="B2:D2"/>
    <mergeCell ref="C3:D3"/>
    <mergeCell ref="C4:D4"/>
    <mergeCell ref="C5:D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8DE5-3E9C-4F35-BF14-B4DE87D754A3}">
  <dimension ref="B1:G94"/>
  <sheetViews>
    <sheetView topLeftCell="A80" zoomScale="140" zoomScaleNormal="140" workbookViewId="0">
      <selection activeCell="G99" sqref="G99"/>
    </sheetView>
  </sheetViews>
  <sheetFormatPr defaultRowHeight="15" x14ac:dyDescent="0.25"/>
  <cols>
    <col min="1" max="1" width="6.7109375" customWidth="1"/>
    <col min="2" max="2" width="16.7109375" customWidth="1"/>
    <col min="3" max="3" width="20.140625" customWidth="1"/>
    <col min="4" max="4" width="18.42578125" customWidth="1"/>
    <col min="5" max="6" width="20" customWidth="1"/>
    <col min="7" max="7" width="14.7109375" customWidth="1"/>
  </cols>
  <sheetData>
    <row r="1" spans="2:7" ht="15.75" thickBot="1" x14ac:dyDescent="0.3">
      <c r="B1" s="193"/>
      <c r="C1" s="193"/>
      <c r="D1" s="193"/>
      <c r="E1" s="193"/>
      <c r="F1" s="193"/>
    </row>
    <row r="2" spans="2:7" ht="25.5" thickTop="1" thickBot="1" x14ac:dyDescent="0.3">
      <c r="B2" s="194" t="s">
        <v>46</v>
      </c>
      <c r="C2" s="194"/>
      <c r="D2" s="194"/>
      <c r="E2" s="194"/>
      <c r="F2" s="194"/>
      <c r="G2" s="2"/>
    </row>
    <row r="3" spans="2:7" ht="16.5" thickTop="1" thickBot="1" x14ac:dyDescent="0.3">
      <c r="B3" s="195" t="s">
        <v>12</v>
      </c>
      <c r="C3" s="195"/>
      <c r="D3" s="196" t="e" cm="1">
        <f t="array" ref="D3">#REF!</f>
        <v>#REF!</v>
      </c>
      <c r="E3" s="195"/>
      <c r="F3" s="195"/>
      <c r="G3" s="2"/>
    </row>
    <row r="4" spans="2:7" ht="25.5" thickTop="1" thickBot="1" x14ac:dyDescent="0.3">
      <c r="B4" s="82" t="s">
        <v>49</v>
      </c>
      <c r="C4" s="82" t="s">
        <v>43</v>
      </c>
      <c r="D4" s="82" t="s">
        <v>167</v>
      </c>
      <c r="E4" s="82" t="s">
        <v>45</v>
      </c>
      <c r="F4" s="82" t="s">
        <v>11</v>
      </c>
      <c r="G4" s="2"/>
    </row>
    <row r="5" spans="2:7" ht="17.25" thickTop="1" thickBot="1" x14ac:dyDescent="0.3">
      <c r="B5" s="83" t="e" cm="1" vm="1">
        <f t="array" aca="1" ref="B5" ca="1">'DADOS APLICAÇÃO CALCULO'!F5:G5</f>
        <v>#VALUE!</v>
      </c>
      <c r="C5" s="84">
        <f>'DADOS APLICAÇÃO CALCULO'!I21</f>
        <v>1.9699999999999999E-2</v>
      </c>
      <c r="D5" s="84">
        <f>'DADOS APLICAÇÃO CALCULO'!I48</f>
        <v>1.9699999999999999E-2</v>
      </c>
      <c r="E5" s="84">
        <f>'DADOS APLICAÇÃO CALCULO'!I23</f>
        <v>2.0851286173794104E-2</v>
      </c>
      <c r="F5" s="85">
        <v>0</v>
      </c>
      <c r="G5" s="2"/>
    </row>
    <row r="6" spans="2:7" ht="24" thickTop="1" thickBot="1" x14ac:dyDescent="0.3">
      <c r="B6" s="86" t="s">
        <v>1</v>
      </c>
      <c r="C6" s="87" t="s">
        <v>47</v>
      </c>
      <c r="D6" s="87" t="s">
        <v>41</v>
      </c>
      <c r="E6" s="87" t="s">
        <v>139</v>
      </c>
      <c r="F6" s="87" t="s">
        <v>39</v>
      </c>
      <c r="G6" s="2"/>
    </row>
    <row r="7" spans="2:7" ht="17.25" thickTop="1" thickBot="1" x14ac:dyDescent="0.3">
      <c r="B7" s="83">
        <f>'DADOS APLICAÇÃO CALCULO'!I22</f>
        <v>45208</v>
      </c>
      <c r="C7" s="85">
        <f>'DADOS APLICAÇÃO CALCULO'!I19</f>
        <v>72</v>
      </c>
      <c r="D7" s="209">
        <f>'DADOS APLICAÇÃO CALCULO'!I20</f>
        <v>1221.3499999999999</v>
      </c>
      <c r="E7" s="209">
        <f>'DADOS APLICAÇÃO CALCULO'!I39</f>
        <v>1077.1150463009665</v>
      </c>
      <c r="F7" s="85">
        <f>'DADOS APLICAÇÃO CALCULO'!I27</f>
        <v>36</v>
      </c>
      <c r="G7" s="2"/>
    </row>
    <row r="8" spans="2:7" ht="28.5" thickTop="1" thickBot="1" x14ac:dyDescent="0.3">
      <c r="B8" s="89" t="s">
        <v>3</v>
      </c>
      <c r="C8" s="90" t="s">
        <v>2</v>
      </c>
      <c r="D8" s="91" t="s">
        <v>13</v>
      </c>
      <c r="E8" s="91" t="s">
        <v>48</v>
      </c>
      <c r="F8" s="90" t="s">
        <v>14</v>
      </c>
    </row>
    <row r="9" spans="2:7" ht="16.5" thickTop="1" thickBot="1" x14ac:dyDescent="0.3">
      <c r="B9" s="92">
        <v>1</v>
      </c>
      <c r="C9" s="93">
        <v>45208</v>
      </c>
      <c r="D9" s="94">
        <v>1221.3499999999999</v>
      </c>
      <c r="E9" s="94">
        <v>1077.1199999999999</v>
      </c>
      <c r="F9" s="94">
        <f>D9-E9</f>
        <v>144.23000000000002</v>
      </c>
    </row>
    <row r="10" spans="2:7" ht="16.5" thickTop="1" thickBot="1" x14ac:dyDescent="0.3">
      <c r="B10" s="92">
        <v>2</v>
      </c>
      <c r="C10" s="93">
        <v>45239</v>
      </c>
      <c r="D10" s="94">
        <v>1221.3499999999999</v>
      </c>
      <c r="E10" s="94">
        <v>1077.1199999999999</v>
      </c>
      <c r="F10" s="94">
        <f t="shared" ref="F10:F44" si="0">D10-E10</f>
        <v>144.23000000000002</v>
      </c>
    </row>
    <row r="11" spans="2:7" ht="16.5" thickTop="1" thickBot="1" x14ac:dyDescent="0.3">
      <c r="B11" s="92">
        <v>3</v>
      </c>
      <c r="C11" s="93">
        <v>45269</v>
      </c>
      <c r="D11" s="94">
        <v>1221.3499999999999</v>
      </c>
      <c r="E11" s="94">
        <v>1077.1199999999999</v>
      </c>
      <c r="F11" s="94">
        <f t="shared" si="0"/>
        <v>144.23000000000002</v>
      </c>
    </row>
    <row r="12" spans="2:7" ht="16.5" thickTop="1" thickBot="1" x14ac:dyDescent="0.3">
      <c r="B12" s="92">
        <v>4</v>
      </c>
      <c r="C12" s="93">
        <v>45300</v>
      </c>
      <c r="D12" s="94">
        <v>1221.3499999999999</v>
      </c>
      <c r="E12" s="94">
        <v>1077.1199999999999</v>
      </c>
      <c r="F12" s="94">
        <f t="shared" si="0"/>
        <v>144.23000000000002</v>
      </c>
    </row>
    <row r="13" spans="2:7" ht="16.5" thickTop="1" thickBot="1" x14ac:dyDescent="0.3">
      <c r="B13" s="92">
        <v>5</v>
      </c>
      <c r="C13" s="93">
        <v>45331</v>
      </c>
      <c r="D13" s="94">
        <v>1221.3499999999999</v>
      </c>
      <c r="E13" s="94">
        <v>1077.1199999999999</v>
      </c>
      <c r="F13" s="94">
        <f t="shared" si="0"/>
        <v>144.23000000000002</v>
      </c>
    </row>
    <row r="14" spans="2:7" ht="16.5" thickTop="1" thickBot="1" x14ac:dyDescent="0.3">
      <c r="B14" s="92">
        <v>6</v>
      </c>
      <c r="C14" s="93">
        <v>45360</v>
      </c>
      <c r="D14" s="94">
        <v>1221.3499999999999</v>
      </c>
      <c r="E14" s="94">
        <v>1077.1199999999999</v>
      </c>
      <c r="F14" s="94">
        <f t="shared" si="0"/>
        <v>144.23000000000002</v>
      </c>
    </row>
    <row r="15" spans="2:7" ht="16.5" thickTop="1" thickBot="1" x14ac:dyDescent="0.3">
      <c r="B15" s="92">
        <v>7</v>
      </c>
      <c r="C15" s="93">
        <v>45391</v>
      </c>
      <c r="D15" s="94">
        <v>1221.3499999999999</v>
      </c>
      <c r="E15" s="94">
        <v>1077.1199999999999</v>
      </c>
      <c r="F15" s="94">
        <f t="shared" si="0"/>
        <v>144.23000000000002</v>
      </c>
    </row>
    <row r="16" spans="2:7" ht="16.5" thickTop="1" thickBot="1" x14ac:dyDescent="0.3">
      <c r="B16" s="92">
        <v>8</v>
      </c>
      <c r="C16" s="93">
        <v>45421</v>
      </c>
      <c r="D16" s="94">
        <v>1221.3499999999999</v>
      </c>
      <c r="E16" s="94">
        <v>1077.1199999999999</v>
      </c>
      <c r="F16" s="94">
        <f t="shared" si="0"/>
        <v>144.23000000000002</v>
      </c>
    </row>
    <row r="17" spans="2:6" ht="16.5" thickTop="1" thickBot="1" x14ac:dyDescent="0.3">
      <c r="B17" s="92">
        <v>9</v>
      </c>
      <c r="C17" s="93">
        <v>45452</v>
      </c>
      <c r="D17" s="94">
        <v>1221.3499999999999</v>
      </c>
      <c r="E17" s="94">
        <v>1077.1199999999999</v>
      </c>
      <c r="F17" s="94">
        <f t="shared" si="0"/>
        <v>144.23000000000002</v>
      </c>
    </row>
    <row r="18" spans="2:6" ht="16.5" thickTop="1" thickBot="1" x14ac:dyDescent="0.3">
      <c r="B18" s="92">
        <v>10</v>
      </c>
      <c r="C18" s="93">
        <v>45482</v>
      </c>
      <c r="D18" s="94">
        <v>1221.3499999999999</v>
      </c>
      <c r="E18" s="94">
        <v>1077.1199999999999</v>
      </c>
      <c r="F18" s="94">
        <f t="shared" si="0"/>
        <v>144.23000000000002</v>
      </c>
    </row>
    <row r="19" spans="2:6" ht="16.5" thickTop="1" thickBot="1" x14ac:dyDescent="0.3">
      <c r="B19" s="92">
        <v>11</v>
      </c>
      <c r="C19" s="93">
        <v>45513</v>
      </c>
      <c r="D19" s="94">
        <v>1221.3499999999999</v>
      </c>
      <c r="E19" s="94">
        <v>1077.1199999999999</v>
      </c>
      <c r="F19" s="94">
        <f t="shared" si="0"/>
        <v>144.23000000000002</v>
      </c>
    </row>
    <row r="20" spans="2:6" ht="16.5" thickTop="1" thickBot="1" x14ac:dyDescent="0.3">
      <c r="B20" s="92">
        <v>12</v>
      </c>
      <c r="C20" s="93">
        <v>45544</v>
      </c>
      <c r="D20" s="94">
        <v>1221.3499999999999</v>
      </c>
      <c r="E20" s="94">
        <v>1077.1199999999999</v>
      </c>
      <c r="F20" s="94">
        <f t="shared" si="0"/>
        <v>144.23000000000002</v>
      </c>
    </row>
    <row r="21" spans="2:6" ht="16.5" thickTop="1" thickBot="1" x14ac:dyDescent="0.3">
      <c r="B21" s="92">
        <v>13</v>
      </c>
      <c r="C21" s="93">
        <v>45574</v>
      </c>
      <c r="D21" s="94">
        <v>1221.3499999999999</v>
      </c>
      <c r="E21" s="94">
        <v>1077.1199999999999</v>
      </c>
      <c r="F21" s="94">
        <f t="shared" si="0"/>
        <v>144.23000000000002</v>
      </c>
    </row>
    <row r="22" spans="2:6" ht="16.5" thickTop="1" thickBot="1" x14ac:dyDescent="0.3">
      <c r="B22" s="92">
        <v>14</v>
      </c>
      <c r="C22" s="93">
        <v>45605</v>
      </c>
      <c r="D22" s="94">
        <v>1221.3499999999999</v>
      </c>
      <c r="E22" s="94">
        <v>1077.1199999999999</v>
      </c>
      <c r="F22" s="94">
        <f t="shared" si="0"/>
        <v>144.23000000000002</v>
      </c>
    </row>
    <row r="23" spans="2:6" ht="16.5" thickTop="1" thickBot="1" x14ac:dyDescent="0.3">
      <c r="B23" s="92">
        <v>15</v>
      </c>
      <c r="C23" s="93">
        <v>45635</v>
      </c>
      <c r="D23" s="94">
        <v>1221.3499999999999</v>
      </c>
      <c r="E23" s="94">
        <v>1077.1199999999999</v>
      </c>
      <c r="F23" s="94">
        <f t="shared" si="0"/>
        <v>144.23000000000002</v>
      </c>
    </row>
    <row r="24" spans="2:6" ht="16.5" thickTop="1" thickBot="1" x14ac:dyDescent="0.3">
      <c r="B24" s="92">
        <v>16</v>
      </c>
      <c r="C24" s="93">
        <v>45666</v>
      </c>
      <c r="D24" s="94">
        <v>1221.3499999999999</v>
      </c>
      <c r="E24" s="94">
        <v>1077.1199999999999</v>
      </c>
      <c r="F24" s="94">
        <f t="shared" si="0"/>
        <v>144.23000000000002</v>
      </c>
    </row>
    <row r="25" spans="2:6" ht="16.5" thickTop="1" thickBot="1" x14ac:dyDescent="0.3">
      <c r="B25" s="92">
        <v>17</v>
      </c>
      <c r="C25" s="93">
        <v>45697</v>
      </c>
      <c r="D25" s="94">
        <v>1221.3499999999999</v>
      </c>
      <c r="E25" s="94">
        <v>1077.1199999999999</v>
      </c>
      <c r="F25" s="94">
        <f t="shared" si="0"/>
        <v>144.23000000000002</v>
      </c>
    </row>
    <row r="26" spans="2:6" ht="16.5" thickTop="1" thickBot="1" x14ac:dyDescent="0.3">
      <c r="B26" s="92">
        <v>18</v>
      </c>
      <c r="C26" s="93">
        <v>45725</v>
      </c>
      <c r="D26" s="94">
        <v>1221.3499999999999</v>
      </c>
      <c r="E26" s="94">
        <v>1077.1199999999999</v>
      </c>
      <c r="F26" s="94">
        <f t="shared" si="0"/>
        <v>144.23000000000002</v>
      </c>
    </row>
    <row r="27" spans="2:6" ht="16.5" thickTop="1" thickBot="1" x14ac:dyDescent="0.3">
      <c r="B27" s="92">
        <v>19</v>
      </c>
      <c r="C27" s="93">
        <v>45756</v>
      </c>
      <c r="D27" s="94">
        <v>1221.3499999999999</v>
      </c>
      <c r="E27" s="94">
        <v>1077.1199999999999</v>
      </c>
      <c r="F27" s="94">
        <f t="shared" si="0"/>
        <v>144.23000000000002</v>
      </c>
    </row>
    <row r="28" spans="2:6" ht="16.5" thickTop="1" thickBot="1" x14ac:dyDescent="0.3">
      <c r="B28" s="92">
        <v>20</v>
      </c>
      <c r="C28" s="93">
        <v>45786</v>
      </c>
      <c r="D28" s="94">
        <v>1221.3499999999999</v>
      </c>
      <c r="E28" s="94">
        <v>1077.1199999999999</v>
      </c>
      <c r="F28" s="94">
        <f t="shared" si="0"/>
        <v>144.23000000000002</v>
      </c>
    </row>
    <row r="29" spans="2:6" ht="16.5" thickTop="1" thickBot="1" x14ac:dyDescent="0.3">
      <c r="B29" s="92">
        <v>21</v>
      </c>
      <c r="C29" s="93">
        <v>45817</v>
      </c>
      <c r="D29" s="94">
        <v>1221.3499999999999</v>
      </c>
      <c r="E29" s="94">
        <v>1077.1199999999999</v>
      </c>
      <c r="F29" s="94">
        <f t="shared" si="0"/>
        <v>144.23000000000002</v>
      </c>
    </row>
    <row r="30" spans="2:6" ht="16.5" thickTop="1" thickBot="1" x14ac:dyDescent="0.3">
      <c r="B30" s="92">
        <v>22</v>
      </c>
      <c r="C30" s="93">
        <v>45847</v>
      </c>
      <c r="D30" s="94">
        <v>1221.3499999999999</v>
      </c>
      <c r="E30" s="94">
        <v>1077.1199999999999</v>
      </c>
      <c r="F30" s="94">
        <f t="shared" si="0"/>
        <v>144.23000000000002</v>
      </c>
    </row>
    <row r="31" spans="2:6" ht="16.5" thickTop="1" thickBot="1" x14ac:dyDescent="0.3">
      <c r="B31" s="92">
        <v>23</v>
      </c>
      <c r="C31" s="93">
        <v>45878</v>
      </c>
      <c r="D31" s="94">
        <v>1221.3499999999999</v>
      </c>
      <c r="E31" s="94">
        <v>1077.1199999999999</v>
      </c>
      <c r="F31" s="94">
        <f t="shared" si="0"/>
        <v>144.23000000000002</v>
      </c>
    </row>
    <row r="32" spans="2:6" ht="16.5" thickTop="1" thickBot="1" x14ac:dyDescent="0.3">
      <c r="B32" s="92">
        <v>24</v>
      </c>
      <c r="C32" s="93">
        <v>45909</v>
      </c>
      <c r="D32" s="94">
        <v>1221.3499999999999</v>
      </c>
      <c r="E32" s="94">
        <v>1077.1199999999999</v>
      </c>
      <c r="F32" s="94">
        <f t="shared" si="0"/>
        <v>144.23000000000002</v>
      </c>
    </row>
    <row r="33" spans="2:6" ht="16.5" thickTop="1" thickBot="1" x14ac:dyDescent="0.3">
      <c r="B33" s="92">
        <v>25</v>
      </c>
      <c r="C33" s="93">
        <v>45939</v>
      </c>
      <c r="D33" s="94">
        <v>1221.3499999999999</v>
      </c>
      <c r="E33" s="94">
        <v>1077.1199999999999</v>
      </c>
      <c r="F33" s="94">
        <f t="shared" si="0"/>
        <v>144.23000000000002</v>
      </c>
    </row>
    <row r="34" spans="2:6" ht="16.5" thickTop="1" thickBot="1" x14ac:dyDescent="0.3">
      <c r="B34" s="92">
        <v>26</v>
      </c>
      <c r="C34" s="93">
        <v>45970</v>
      </c>
      <c r="D34" s="94">
        <v>1221.3499999999999</v>
      </c>
      <c r="E34" s="94">
        <v>1077.1199999999999</v>
      </c>
      <c r="F34" s="94">
        <f t="shared" si="0"/>
        <v>144.23000000000002</v>
      </c>
    </row>
    <row r="35" spans="2:6" ht="16.5" thickTop="1" thickBot="1" x14ac:dyDescent="0.3">
      <c r="B35" s="92">
        <v>27</v>
      </c>
      <c r="C35" s="93">
        <v>46000</v>
      </c>
      <c r="D35" s="94">
        <v>1221.3499999999999</v>
      </c>
      <c r="E35" s="94">
        <v>1077.1199999999999</v>
      </c>
      <c r="F35" s="94">
        <f t="shared" si="0"/>
        <v>144.23000000000002</v>
      </c>
    </row>
    <row r="36" spans="2:6" ht="16.5" thickTop="1" thickBot="1" x14ac:dyDescent="0.3">
      <c r="B36" s="92">
        <v>28</v>
      </c>
      <c r="C36" s="93">
        <v>46031</v>
      </c>
      <c r="D36" s="94">
        <v>1221.3499999999999</v>
      </c>
      <c r="E36" s="94">
        <v>1077.1199999999999</v>
      </c>
      <c r="F36" s="94">
        <f t="shared" si="0"/>
        <v>144.23000000000002</v>
      </c>
    </row>
    <row r="37" spans="2:6" ht="16.5" thickTop="1" thickBot="1" x14ac:dyDescent="0.3">
      <c r="B37" s="92">
        <v>29</v>
      </c>
      <c r="C37" s="93">
        <v>46062</v>
      </c>
      <c r="D37" s="94">
        <v>1221.3499999999999</v>
      </c>
      <c r="E37" s="94">
        <v>1077.1199999999999</v>
      </c>
      <c r="F37" s="94">
        <f t="shared" si="0"/>
        <v>144.23000000000002</v>
      </c>
    </row>
    <row r="38" spans="2:6" ht="16.5" thickTop="1" thickBot="1" x14ac:dyDescent="0.3">
      <c r="B38" s="92">
        <v>30</v>
      </c>
      <c r="C38" s="93">
        <v>46090</v>
      </c>
      <c r="D38" s="94">
        <v>1221.3499999999999</v>
      </c>
      <c r="E38" s="94">
        <v>1077.1199999999999</v>
      </c>
      <c r="F38" s="94">
        <f t="shared" si="0"/>
        <v>144.23000000000002</v>
      </c>
    </row>
    <row r="39" spans="2:6" ht="16.5" thickTop="1" thickBot="1" x14ac:dyDescent="0.3">
      <c r="B39" s="92">
        <v>31</v>
      </c>
      <c r="C39" s="93">
        <v>46121</v>
      </c>
      <c r="D39" s="94">
        <v>1221.3499999999999</v>
      </c>
      <c r="E39" s="94">
        <v>1077.1199999999999</v>
      </c>
      <c r="F39" s="94">
        <f t="shared" si="0"/>
        <v>144.23000000000002</v>
      </c>
    </row>
    <row r="40" spans="2:6" ht="16.5" thickTop="1" thickBot="1" x14ac:dyDescent="0.3">
      <c r="B40" s="92">
        <v>32</v>
      </c>
      <c r="C40" s="93">
        <v>46151</v>
      </c>
      <c r="D40" s="94">
        <v>1221.3499999999999</v>
      </c>
      <c r="E40" s="94">
        <v>1077.1199999999999</v>
      </c>
      <c r="F40" s="94">
        <f t="shared" si="0"/>
        <v>144.23000000000002</v>
      </c>
    </row>
    <row r="41" spans="2:6" ht="16.5" thickTop="1" thickBot="1" x14ac:dyDescent="0.3">
      <c r="B41" s="92">
        <v>33</v>
      </c>
      <c r="C41" s="93">
        <v>46182</v>
      </c>
      <c r="D41" s="94">
        <v>1221.3499999999999</v>
      </c>
      <c r="E41" s="94">
        <v>1077.1199999999999</v>
      </c>
      <c r="F41" s="94">
        <f t="shared" si="0"/>
        <v>144.23000000000002</v>
      </c>
    </row>
    <row r="42" spans="2:6" ht="16.5" thickTop="1" thickBot="1" x14ac:dyDescent="0.3">
      <c r="B42" s="92">
        <v>34</v>
      </c>
      <c r="C42" s="93">
        <v>46212</v>
      </c>
      <c r="D42" s="94">
        <v>1221.3499999999999</v>
      </c>
      <c r="E42" s="94">
        <v>1077.1199999999999</v>
      </c>
      <c r="F42" s="94">
        <f t="shared" si="0"/>
        <v>144.23000000000002</v>
      </c>
    </row>
    <row r="43" spans="2:6" ht="16.5" thickTop="1" thickBot="1" x14ac:dyDescent="0.3">
      <c r="B43" s="92">
        <v>35</v>
      </c>
      <c r="C43" s="93">
        <v>46243</v>
      </c>
      <c r="D43" s="94">
        <v>1221.3499999999999</v>
      </c>
      <c r="E43" s="94">
        <v>1077.1199999999999</v>
      </c>
      <c r="F43" s="94">
        <f t="shared" si="0"/>
        <v>144.23000000000002</v>
      </c>
    </row>
    <row r="44" spans="2:6" ht="16.5" thickTop="1" thickBot="1" x14ac:dyDescent="0.3">
      <c r="B44" s="92">
        <v>36</v>
      </c>
      <c r="C44" s="93">
        <v>46274</v>
      </c>
      <c r="D44" s="94">
        <v>1221.3499999999999</v>
      </c>
      <c r="E44" s="94">
        <v>1077.1199999999999</v>
      </c>
      <c r="F44" s="94">
        <f t="shared" si="0"/>
        <v>144.23000000000002</v>
      </c>
    </row>
    <row r="45" spans="2:6" ht="17.25" thickTop="1" thickBot="1" x14ac:dyDescent="0.3">
      <c r="B45" s="214"/>
      <c r="C45" s="215"/>
      <c r="D45" s="197" t="s">
        <v>50</v>
      </c>
      <c r="E45" s="197"/>
      <c r="F45" s="99">
        <f>SUM(F9:F44)</f>
        <v>5192.279999999997</v>
      </c>
    </row>
    <row r="46" spans="2:6" ht="17.25" thickTop="1" thickBot="1" x14ac:dyDescent="0.3">
      <c r="B46" s="216"/>
      <c r="C46" s="217"/>
      <c r="D46" s="197" t="s">
        <v>51</v>
      </c>
      <c r="E46" s="197"/>
      <c r="F46" s="99">
        <f>F45*2</f>
        <v>10384.559999999994</v>
      </c>
    </row>
    <row r="47" spans="2:6" ht="16.5" thickTop="1" thickBot="1" x14ac:dyDescent="0.3">
      <c r="B47" s="92">
        <v>37</v>
      </c>
      <c r="C47" s="93">
        <v>46304</v>
      </c>
      <c r="D47" s="94">
        <v>1221.3499999999999</v>
      </c>
      <c r="E47" s="94">
        <v>1077.1199999999999</v>
      </c>
      <c r="F47" s="100"/>
    </row>
    <row r="48" spans="2:6" ht="16.5" thickTop="1" thickBot="1" x14ac:dyDescent="0.3">
      <c r="B48" s="92">
        <v>38</v>
      </c>
      <c r="C48" s="93">
        <v>46335</v>
      </c>
      <c r="D48" s="94">
        <v>1221.3499999999999</v>
      </c>
      <c r="E48" s="94">
        <v>1077.1199999999999</v>
      </c>
      <c r="F48" s="100"/>
    </row>
    <row r="49" spans="2:6" ht="16.5" thickTop="1" thickBot="1" x14ac:dyDescent="0.3">
      <c r="B49" s="92">
        <v>39</v>
      </c>
      <c r="C49" s="93">
        <v>46365</v>
      </c>
      <c r="D49" s="94">
        <v>1221.3499999999999</v>
      </c>
      <c r="E49" s="94">
        <v>1077.1199999999999</v>
      </c>
      <c r="F49" s="100"/>
    </row>
    <row r="50" spans="2:6" ht="16.5" thickTop="1" thickBot="1" x14ac:dyDescent="0.3">
      <c r="B50" s="92">
        <v>40</v>
      </c>
      <c r="C50" s="93">
        <v>46396</v>
      </c>
      <c r="D50" s="94">
        <v>1221.3499999999999</v>
      </c>
      <c r="E50" s="94">
        <v>1077.1199999999999</v>
      </c>
      <c r="F50" s="100"/>
    </row>
    <row r="51" spans="2:6" ht="16.5" thickTop="1" thickBot="1" x14ac:dyDescent="0.3">
      <c r="B51" s="92">
        <v>41</v>
      </c>
      <c r="C51" s="93">
        <v>46427</v>
      </c>
      <c r="D51" s="94">
        <v>1221.3499999999999</v>
      </c>
      <c r="E51" s="94">
        <v>1077.1199999999999</v>
      </c>
      <c r="F51" s="100"/>
    </row>
    <row r="52" spans="2:6" ht="16.5" thickTop="1" thickBot="1" x14ac:dyDescent="0.3">
      <c r="B52" s="92">
        <v>42</v>
      </c>
      <c r="C52" s="93">
        <v>46455</v>
      </c>
      <c r="D52" s="94">
        <v>1221.3499999999999</v>
      </c>
      <c r="E52" s="94">
        <v>1077.1199999999999</v>
      </c>
      <c r="F52" s="100"/>
    </row>
    <row r="53" spans="2:6" ht="16.5" thickTop="1" thickBot="1" x14ac:dyDescent="0.3">
      <c r="B53" s="92">
        <v>43</v>
      </c>
      <c r="C53" s="93">
        <v>46486</v>
      </c>
      <c r="D53" s="94">
        <v>1221.3499999999999</v>
      </c>
      <c r="E53" s="94">
        <v>1077.1199999999999</v>
      </c>
      <c r="F53" s="100"/>
    </row>
    <row r="54" spans="2:6" ht="16.5" thickTop="1" thickBot="1" x14ac:dyDescent="0.3">
      <c r="B54" s="92">
        <v>44</v>
      </c>
      <c r="C54" s="93">
        <v>46516</v>
      </c>
      <c r="D54" s="94">
        <v>1221.3499999999999</v>
      </c>
      <c r="E54" s="94">
        <v>1077.1199999999999</v>
      </c>
      <c r="F54" s="100"/>
    </row>
    <row r="55" spans="2:6" ht="16.5" thickTop="1" thickBot="1" x14ac:dyDescent="0.3">
      <c r="B55" s="92">
        <v>45</v>
      </c>
      <c r="C55" s="93">
        <v>46547</v>
      </c>
      <c r="D55" s="94">
        <v>1221.3499999999999</v>
      </c>
      <c r="E55" s="94">
        <v>1077.1199999999999</v>
      </c>
      <c r="F55" s="100"/>
    </row>
    <row r="56" spans="2:6" ht="16.5" thickTop="1" thickBot="1" x14ac:dyDescent="0.3">
      <c r="B56" s="92">
        <v>46</v>
      </c>
      <c r="C56" s="93">
        <v>46577</v>
      </c>
      <c r="D56" s="94">
        <v>1221.3499999999999</v>
      </c>
      <c r="E56" s="94">
        <v>1077.1199999999999</v>
      </c>
      <c r="F56" s="100"/>
    </row>
    <row r="57" spans="2:6" ht="16.5" thickTop="1" thickBot="1" x14ac:dyDescent="0.3">
      <c r="B57" s="92">
        <v>47</v>
      </c>
      <c r="C57" s="93">
        <v>46608</v>
      </c>
      <c r="D57" s="94">
        <v>1221.3499999999999</v>
      </c>
      <c r="E57" s="94">
        <v>1077.1199999999999</v>
      </c>
      <c r="F57" s="100"/>
    </row>
    <row r="58" spans="2:6" ht="16.5" thickTop="1" thickBot="1" x14ac:dyDescent="0.3">
      <c r="B58" s="92">
        <v>48</v>
      </c>
      <c r="C58" s="93">
        <v>46639</v>
      </c>
      <c r="D58" s="94">
        <v>1221.3499999999999</v>
      </c>
      <c r="E58" s="94">
        <v>1077.1199999999999</v>
      </c>
      <c r="F58" s="100"/>
    </row>
    <row r="59" spans="2:6" ht="16.5" thickTop="1" thickBot="1" x14ac:dyDescent="0.3">
      <c r="B59" s="92">
        <v>49</v>
      </c>
      <c r="C59" s="93">
        <v>46669</v>
      </c>
      <c r="D59" s="94">
        <v>1221.3499999999999</v>
      </c>
      <c r="E59" s="94">
        <v>1077.1199999999999</v>
      </c>
      <c r="F59" s="100"/>
    </row>
    <row r="60" spans="2:6" ht="16.5" thickTop="1" thickBot="1" x14ac:dyDescent="0.3">
      <c r="B60" s="92">
        <v>50</v>
      </c>
      <c r="C60" s="93">
        <v>46700</v>
      </c>
      <c r="D60" s="94">
        <v>1221.3499999999999</v>
      </c>
      <c r="E60" s="94">
        <v>1077.1199999999999</v>
      </c>
      <c r="F60" s="100"/>
    </row>
    <row r="61" spans="2:6" ht="16.5" thickTop="1" thickBot="1" x14ac:dyDescent="0.3">
      <c r="B61" s="92">
        <v>51</v>
      </c>
      <c r="C61" s="93">
        <v>46730</v>
      </c>
      <c r="D61" s="94">
        <v>1221.3499999999999</v>
      </c>
      <c r="E61" s="94">
        <v>1077.1199999999999</v>
      </c>
      <c r="F61" s="100"/>
    </row>
    <row r="62" spans="2:6" ht="16.5" thickTop="1" thickBot="1" x14ac:dyDescent="0.3">
      <c r="B62" s="92">
        <v>52</v>
      </c>
      <c r="C62" s="93">
        <v>46761</v>
      </c>
      <c r="D62" s="94">
        <v>1221.3499999999999</v>
      </c>
      <c r="E62" s="94">
        <v>1077.1199999999999</v>
      </c>
      <c r="F62" s="100"/>
    </row>
    <row r="63" spans="2:6" ht="16.5" thickTop="1" thickBot="1" x14ac:dyDescent="0.3">
      <c r="B63" s="92">
        <v>53</v>
      </c>
      <c r="C63" s="93">
        <v>46792</v>
      </c>
      <c r="D63" s="94">
        <v>1221.3499999999999</v>
      </c>
      <c r="E63" s="94">
        <v>1077.1199999999999</v>
      </c>
      <c r="F63" s="100"/>
    </row>
    <row r="64" spans="2:6" ht="16.5" thickTop="1" thickBot="1" x14ac:dyDescent="0.3">
      <c r="B64" s="92">
        <v>54</v>
      </c>
      <c r="C64" s="93">
        <v>46821</v>
      </c>
      <c r="D64" s="94">
        <v>1221.3499999999999</v>
      </c>
      <c r="E64" s="94">
        <v>1077.1199999999999</v>
      </c>
      <c r="F64" s="100"/>
    </row>
    <row r="65" spans="2:6" ht="16.5" thickTop="1" thickBot="1" x14ac:dyDescent="0.3">
      <c r="B65" s="92">
        <v>55</v>
      </c>
      <c r="C65" s="93">
        <v>46852</v>
      </c>
      <c r="D65" s="94">
        <v>1221.3499999999999</v>
      </c>
      <c r="E65" s="94">
        <v>1077.1199999999999</v>
      </c>
      <c r="F65" s="100"/>
    </row>
    <row r="66" spans="2:6" ht="16.5" thickTop="1" thickBot="1" x14ac:dyDescent="0.3">
      <c r="B66" s="92">
        <v>58</v>
      </c>
      <c r="C66" s="93">
        <v>46882</v>
      </c>
      <c r="D66" s="95">
        <v>1221.3499999999999</v>
      </c>
      <c r="E66" s="94">
        <v>1077.1199999999999</v>
      </c>
      <c r="F66" s="100"/>
    </row>
    <row r="67" spans="2:6" ht="16.5" thickTop="1" thickBot="1" x14ac:dyDescent="0.3">
      <c r="B67" s="92">
        <v>59</v>
      </c>
      <c r="C67" s="93">
        <v>46913</v>
      </c>
      <c r="D67" s="95">
        <v>1221.3499999999999</v>
      </c>
      <c r="E67" s="94">
        <v>1077.1199999999999</v>
      </c>
      <c r="F67" s="100"/>
    </row>
    <row r="68" spans="2:6" ht="16.5" thickTop="1" thickBot="1" x14ac:dyDescent="0.3">
      <c r="B68" s="92">
        <v>60</v>
      </c>
      <c r="C68" s="93">
        <v>46943</v>
      </c>
      <c r="D68" s="95">
        <v>1221.3499999999999</v>
      </c>
      <c r="E68" s="94">
        <v>1077.1199999999999</v>
      </c>
      <c r="F68" s="100"/>
    </row>
    <row r="69" spans="2:6" ht="16.5" thickTop="1" thickBot="1" x14ac:dyDescent="0.3">
      <c r="B69" s="92">
        <v>61</v>
      </c>
      <c r="C69" s="93">
        <v>46974</v>
      </c>
      <c r="D69" s="95">
        <v>1221.3499999999999</v>
      </c>
      <c r="E69" s="94">
        <v>1077.1199999999999</v>
      </c>
      <c r="F69" s="100"/>
    </row>
    <row r="70" spans="2:6" ht="16.5" thickTop="1" thickBot="1" x14ac:dyDescent="0.3">
      <c r="B70" s="92">
        <v>62</v>
      </c>
      <c r="C70" s="93">
        <v>47005</v>
      </c>
      <c r="D70" s="95">
        <v>1221.3499999999999</v>
      </c>
      <c r="E70" s="94">
        <v>1077.1199999999999</v>
      </c>
      <c r="F70" s="100"/>
    </row>
    <row r="71" spans="2:6" ht="16.5" thickTop="1" thickBot="1" x14ac:dyDescent="0.3">
      <c r="B71" s="92">
        <v>63</v>
      </c>
      <c r="C71" s="93">
        <v>47035</v>
      </c>
      <c r="D71" s="95">
        <v>1221.3499999999999</v>
      </c>
      <c r="E71" s="94">
        <v>1077.1199999999999</v>
      </c>
      <c r="F71" s="100"/>
    </row>
    <row r="72" spans="2:6" ht="16.5" thickTop="1" thickBot="1" x14ac:dyDescent="0.3">
      <c r="B72" s="92">
        <v>64</v>
      </c>
      <c r="C72" s="93">
        <v>47066</v>
      </c>
      <c r="D72" s="95">
        <v>1221.3499999999999</v>
      </c>
      <c r="E72" s="94">
        <v>1077.1199999999999</v>
      </c>
      <c r="F72" s="100"/>
    </row>
    <row r="73" spans="2:6" ht="16.5" thickTop="1" thickBot="1" x14ac:dyDescent="0.3">
      <c r="B73" s="92">
        <v>65</v>
      </c>
      <c r="C73" s="93">
        <v>47096</v>
      </c>
      <c r="D73" s="95">
        <v>1221.3499999999999</v>
      </c>
      <c r="E73" s="94">
        <v>1077.1199999999999</v>
      </c>
      <c r="F73" s="100"/>
    </row>
    <row r="74" spans="2:6" ht="16.5" thickTop="1" thickBot="1" x14ac:dyDescent="0.3">
      <c r="B74" s="92">
        <v>66</v>
      </c>
      <c r="C74" s="93">
        <v>47127</v>
      </c>
      <c r="D74" s="95">
        <v>1221.3499999999999</v>
      </c>
      <c r="E74" s="94">
        <v>1077.1199999999999</v>
      </c>
      <c r="F74" s="100"/>
    </row>
    <row r="75" spans="2:6" ht="16.5" thickTop="1" thickBot="1" x14ac:dyDescent="0.3">
      <c r="B75" s="92">
        <v>67</v>
      </c>
      <c r="C75" s="93">
        <v>47158</v>
      </c>
      <c r="D75" s="95">
        <v>1221.3499999999999</v>
      </c>
      <c r="E75" s="94">
        <v>1077.1199999999999</v>
      </c>
      <c r="F75" s="100"/>
    </row>
    <row r="76" spans="2:6" ht="16.5" thickTop="1" thickBot="1" x14ac:dyDescent="0.3">
      <c r="B76" s="92">
        <v>68</v>
      </c>
      <c r="C76" s="93">
        <v>47186</v>
      </c>
      <c r="D76" s="95">
        <v>1221.3499999999999</v>
      </c>
      <c r="E76" s="94">
        <v>1077.1199999999999</v>
      </c>
      <c r="F76" s="100"/>
    </row>
    <row r="77" spans="2:6" ht="16.5" thickTop="1" thickBot="1" x14ac:dyDescent="0.3">
      <c r="B77" s="92">
        <v>69</v>
      </c>
      <c r="C77" s="93">
        <v>47217</v>
      </c>
      <c r="D77" s="95">
        <v>1221.3499999999999</v>
      </c>
      <c r="E77" s="94">
        <v>1077.1199999999999</v>
      </c>
      <c r="F77" s="100"/>
    </row>
    <row r="78" spans="2:6" ht="16.5" thickTop="1" thickBot="1" x14ac:dyDescent="0.3">
      <c r="B78" s="92">
        <v>70</v>
      </c>
      <c r="C78" s="93">
        <v>47247</v>
      </c>
      <c r="D78" s="95">
        <v>1221.3499999999999</v>
      </c>
      <c r="E78" s="94">
        <v>1077.1199999999999</v>
      </c>
      <c r="F78" s="100"/>
    </row>
    <row r="79" spans="2:6" ht="16.5" thickTop="1" thickBot="1" x14ac:dyDescent="0.3">
      <c r="B79" s="92">
        <v>71</v>
      </c>
      <c r="C79" s="93">
        <v>47278</v>
      </c>
      <c r="D79" s="95">
        <v>1221.3499999999999</v>
      </c>
      <c r="E79" s="94">
        <v>1077.1199999999999</v>
      </c>
      <c r="F79" s="100"/>
    </row>
    <row r="80" spans="2:6" ht="16.5" thickTop="1" thickBot="1" x14ac:dyDescent="0.3">
      <c r="B80" s="92">
        <v>72</v>
      </c>
      <c r="C80" s="93">
        <v>47308</v>
      </c>
      <c r="D80" s="95">
        <v>1221.3499999999999</v>
      </c>
      <c r="E80" s="94">
        <v>1077.1199999999999</v>
      </c>
      <c r="F80" s="100"/>
    </row>
    <row r="81" spans="2:6" ht="16.5" thickTop="1" thickBot="1" x14ac:dyDescent="0.3">
      <c r="B81" s="92">
        <v>73</v>
      </c>
      <c r="C81" s="93">
        <v>47339</v>
      </c>
      <c r="D81" s="95">
        <v>1221.3499999999999</v>
      </c>
      <c r="E81" s="94">
        <v>1077.1199999999999</v>
      </c>
      <c r="F81" s="100"/>
    </row>
    <row r="82" spans="2:6" ht="16.5" thickTop="1" thickBot="1" x14ac:dyDescent="0.3">
      <c r="B82" s="92">
        <v>74</v>
      </c>
      <c r="C82" s="93">
        <v>47370</v>
      </c>
      <c r="D82" s="95">
        <v>1221.3499999999999</v>
      </c>
      <c r="E82" s="94">
        <v>1077.1199999999999</v>
      </c>
      <c r="F82" s="100"/>
    </row>
    <row r="83" spans="2:6" ht="16.5" thickTop="1" thickBot="1" x14ac:dyDescent="0.3">
      <c r="B83" s="92">
        <v>75</v>
      </c>
      <c r="C83" s="93">
        <v>47400</v>
      </c>
      <c r="D83" s="95">
        <v>1221.3499999999999</v>
      </c>
      <c r="E83" s="94">
        <v>1077.1199999999999</v>
      </c>
      <c r="F83" s="100"/>
    </row>
    <row r="84" spans="2:6" ht="16.5" thickTop="1" thickBot="1" x14ac:dyDescent="0.3">
      <c r="B84" s="92">
        <v>76</v>
      </c>
      <c r="C84" s="93">
        <v>47431</v>
      </c>
      <c r="D84" s="95">
        <v>1221.3499999999999</v>
      </c>
      <c r="E84" s="94">
        <v>1077.1199999999999</v>
      </c>
      <c r="F84" s="100"/>
    </row>
    <row r="85" spans="2:6" ht="16.5" thickTop="1" thickBot="1" x14ac:dyDescent="0.3">
      <c r="B85" s="92">
        <v>77</v>
      </c>
      <c r="C85" s="93">
        <v>47461</v>
      </c>
      <c r="D85" s="95">
        <v>1221.3499999999999</v>
      </c>
      <c r="E85" s="94">
        <v>1077.1199999999999</v>
      </c>
      <c r="F85" s="100"/>
    </row>
    <row r="86" spans="2:6" ht="16.5" thickTop="1" thickBot="1" x14ac:dyDescent="0.3">
      <c r="B86" s="92">
        <v>78</v>
      </c>
      <c r="C86" s="93">
        <v>47492</v>
      </c>
      <c r="D86" s="95">
        <v>1221.3499999999999</v>
      </c>
      <c r="E86" s="94">
        <v>1077.1199999999999</v>
      </c>
      <c r="F86" s="100"/>
    </row>
    <row r="87" spans="2:6" ht="16.5" thickTop="1" thickBot="1" x14ac:dyDescent="0.3">
      <c r="B87" s="92">
        <v>79</v>
      </c>
      <c r="C87" s="93">
        <v>47523</v>
      </c>
      <c r="D87" s="95">
        <v>1221.3499999999999</v>
      </c>
      <c r="E87" s="94">
        <v>1077.1199999999999</v>
      </c>
      <c r="F87" s="100"/>
    </row>
    <row r="88" spans="2:6" ht="16.5" thickTop="1" thickBot="1" x14ac:dyDescent="0.3">
      <c r="B88" s="92">
        <v>80</v>
      </c>
      <c r="C88" s="93">
        <v>47551</v>
      </c>
      <c r="D88" s="95">
        <v>1221.3499999999999</v>
      </c>
      <c r="E88" s="94">
        <v>1077.1199999999999</v>
      </c>
      <c r="F88" s="100"/>
    </row>
    <row r="89" spans="2:6" ht="16.5" thickTop="1" thickBot="1" x14ac:dyDescent="0.3">
      <c r="B89" s="92">
        <v>81</v>
      </c>
      <c r="C89" s="93">
        <v>47582</v>
      </c>
      <c r="D89" s="95">
        <v>1221.3499999999999</v>
      </c>
      <c r="E89" s="94">
        <v>1077.1199999999999</v>
      </c>
      <c r="F89" s="100"/>
    </row>
    <row r="90" spans="2:6" ht="16.5" thickTop="1" thickBot="1" x14ac:dyDescent="0.3">
      <c r="B90" s="92">
        <v>82</v>
      </c>
      <c r="C90" s="93">
        <v>47612</v>
      </c>
      <c r="D90" s="95">
        <v>1221.3499999999999</v>
      </c>
      <c r="E90" s="94">
        <v>1077.1199999999999</v>
      </c>
      <c r="F90" s="100"/>
    </row>
    <row r="91" spans="2:6" ht="16.5" thickTop="1" thickBot="1" x14ac:dyDescent="0.3">
      <c r="B91" s="202" t="s">
        <v>134</v>
      </c>
      <c r="C91" s="203"/>
      <c r="D91" s="97">
        <f>SUM(D66:D90)</f>
        <v>30533.749999999985</v>
      </c>
      <c r="E91" s="98"/>
      <c r="F91" s="98"/>
    </row>
    <row r="92" spans="2:6" ht="16.5" thickTop="1" thickBot="1" x14ac:dyDescent="0.3">
      <c r="B92" s="204" t="s">
        <v>132</v>
      </c>
      <c r="C92" s="205"/>
      <c r="D92" s="206"/>
      <c r="E92" s="97">
        <f>SUM(E66:E91)</f>
        <v>26927.999999999982</v>
      </c>
      <c r="F92" s="98"/>
    </row>
    <row r="93" spans="2:6" ht="16.5" thickTop="1" thickBot="1" x14ac:dyDescent="0.3">
      <c r="C93" s="191" t="s">
        <v>133</v>
      </c>
      <c r="D93" s="192"/>
      <c r="E93" s="96">
        <f>D91-E92</f>
        <v>3605.7500000000036</v>
      </c>
      <c r="F93" s="96">
        <f>E93+F46</f>
        <v>13990.309999999998</v>
      </c>
    </row>
    <row r="94" spans="2:6" ht="15.75" thickTop="1" x14ac:dyDescent="0.25"/>
  </sheetData>
  <mergeCells count="10">
    <mergeCell ref="B91:C91"/>
    <mergeCell ref="B92:D92"/>
    <mergeCell ref="C93:D93"/>
    <mergeCell ref="B1:F1"/>
    <mergeCell ref="B2:F2"/>
    <mergeCell ref="B3:C3"/>
    <mergeCell ref="D3:F3"/>
    <mergeCell ref="D46:E46"/>
    <mergeCell ref="D45:E45"/>
    <mergeCell ref="B45:C4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8F5D-C80B-4DB1-8FDC-42C7654751BD}">
  <dimension ref="A1:E63"/>
  <sheetViews>
    <sheetView tabSelected="1" topLeftCell="A7" workbookViewId="0">
      <selection activeCell="P33" sqref="P33"/>
    </sheetView>
  </sheetViews>
  <sheetFormatPr defaultRowHeight="15" x14ac:dyDescent="0.25"/>
  <cols>
    <col min="1" max="1" width="4.42578125" style="2" customWidth="1"/>
    <col min="2" max="2" width="63.7109375" style="2" customWidth="1"/>
    <col min="3" max="3" width="19.5703125" style="2" customWidth="1"/>
    <col min="4" max="4" width="9.140625" style="2"/>
    <col min="5" max="5" width="3.42578125" style="2" customWidth="1"/>
  </cols>
  <sheetData>
    <row r="1" spans="1:4" ht="15.75" thickBot="1" x14ac:dyDescent="0.3"/>
    <row r="2" spans="1:4" ht="22.5" thickTop="1" thickBot="1" x14ac:dyDescent="0.4">
      <c r="B2" s="207" t="s">
        <v>65</v>
      </c>
      <c r="C2" s="207"/>
      <c r="D2" s="207"/>
    </row>
    <row r="3" spans="1:4" ht="22.5" thickTop="1" thickBot="1" x14ac:dyDescent="0.4">
      <c r="B3" s="37" t="s">
        <v>142</v>
      </c>
      <c r="C3" s="208">
        <v>1.7999999999999999E-2</v>
      </c>
      <c r="D3" s="208"/>
    </row>
    <row r="4" spans="1:4" ht="22.5" thickTop="1" thickBot="1" x14ac:dyDescent="0.4">
      <c r="B4" s="37" t="s">
        <v>26</v>
      </c>
      <c r="C4" s="208" t="e">
        <f>#REF!</f>
        <v>#REF!</v>
      </c>
      <c r="D4" s="208"/>
    </row>
    <row r="5" spans="1:4" ht="22.5" thickTop="1" thickBot="1" x14ac:dyDescent="0.4">
      <c r="B5" s="37" t="s">
        <v>123</v>
      </c>
      <c r="C5" s="208" t="e">
        <f>((C4-C3)/C3)</f>
        <v>#REF!</v>
      </c>
      <c r="D5" s="208"/>
    </row>
    <row r="6" spans="1:4" ht="15.75" thickTop="1" x14ac:dyDescent="0.25">
      <c r="A6" s="38"/>
      <c r="D6" s="39"/>
    </row>
    <row r="7" spans="1:4" x14ac:dyDescent="0.25">
      <c r="A7" s="38"/>
      <c r="D7" s="38"/>
    </row>
    <row r="8" spans="1:4" x14ac:dyDescent="0.25">
      <c r="A8" s="38"/>
      <c r="D8" s="38"/>
    </row>
    <row r="9" spans="1:4" x14ac:dyDescent="0.25">
      <c r="A9" s="38"/>
      <c r="D9" s="38"/>
    </row>
    <row r="10" spans="1:4" x14ac:dyDescent="0.25">
      <c r="A10" s="38"/>
      <c r="D10" s="38"/>
    </row>
    <row r="11" spans="1:4" x14ac:dyDescent="0.25">
      <c r="A11" s="38"/>
      <c r="D11" s="38"/>
    </row>
    <row r="12" spans="1:4" x14ac:dyDescent="0.25">
      <c r="A12" s="38"/>
      <c r="D12" s="38"/>
    </row>
    <row r="13" spans="1:4" x14ac:dyDescent="0.25">
      <c r="A13" s="38"/>
      <c r="D13" s="38"/>
    </row>
    <row r="14" spans="1:4" x14ac:dyDescent="0.25">
      <c r="A14" s="38"/>
      <c r="D14" s="38"/>
    </row>
    <row r="15" spans="1:4" x14ac:dyDescent="0.25">
      <c r="A15" s="38"/>
      <c r="D15" s="38"/>
    </row>
    <row r="16" spans="1:4" x14ac:dyDescent="0.25">
      <c r="A16" s="38"/>
      <c r="D16" s="38"/>
    </row>
    <row r="17" spans="1:5" x14ac:dyDescent="0.25">
      <c r="A17" s="38"/>
      <c r="D17" s="38"/>
    </row>
    <row r="18" spans="1:5" x14ac:dyDescent="0.25">
      <c r="A18" s="38"/>
      <c r="D18" s="38"/>
    </row>
    <row r="19" spans="1:5" x14ac:dyDescent="0.25">
      <c r="A19" s="38"/>
      <c r="D19" s="38"/>
    </row>
    <row r="20" spans="1:5" x14ac:dyDescent="0.25">
      <c r="A20" s="38"/>
      <c r="D20" s="38"/>
    </row>
    <row r="21" spans="1:5" x14ac:dyDescent="0.25">
      <c r="A21" s="38"/>
      <c r="D21" s="38"/>
    </row>
    <row r="22" spans="1:5" x14ac:dyDescent="0.25">
      <c r="A22" s="38"/>
      <c r="D22" s="38"/>
    </row>
    <row r="23" spans="1:5" ht="15.75" thickBot="1" x14ac:dyDescent="0.3">
      <c r="A23" s="38"/>
      <c r="B23" s="40"/>
      <c r="C23" s="41"/>
      <c r="D23" s="42"/>
    </row>
    <row r="24" spans="1:5" ht="16.5" thickTop="1" thickBot="1" x14ac:dyDescent="0.3">
      <c r="A24" s="49"/>
      <c r="B24" s="50"/>
      <c r="C24" s="51"/>
      <c r="D24" s="52"/>
    </row>
    <row r="25" spans="1:5" ht="15.75" thickTop="1" x14ac:dyDescent="0.25">
      <c r="A25" s="38"/>
      <c r="B25"/>
      <c r="C25"/>
      <c r="D25" s="53"/>
      <c r="E25" s="54"/>
    </row>
    <row r="26" spans="1:5" x14ac:dyDescent="0.25">
      <c r="A26" s="38"/>
      <c r="D26" s="38"/>
    </row>
    <row r="27" spans="1:5" x14ac:dyDescent="0.25">
      <c r="A27" s="38"/>
      <c r="D27" s="38"/>
    </row>
    <row r="28" spans="1:5" x14ac:dyDescent="0.25">
      <c r="A28" s="38"/>
      <c r="D28" s="38"/>
    </row>
    <row r="29" spans="1:5" x14ac:dyDescent="0.25">
      <c r="A29" s="38"/>
      <c r="D29" s="38"/>
    </row>
    <row r="30" spans="1:5" x14ac:dyDescent="0.25">
      <c r="A30" s="38"/>
      <c r="D30" s="38"/>
    </row>
    <row r="31" spans="1:5" x14ac:dyDescent="0.25">
      <c r="A31" s="38"/>
      <c r="D31" s="38"/>
    </row>
    <row r="32" spans="1:5" x14ac:dyDescent="0.25">
      <c r="A32" s="38"/>
      <c r="D32" s="38"/>
    </row>
    <row r="33" spans="1:4" x14ac:dyDescent="0.25">
      <c r="A33" s="38"/>
      <c r="D33" s="38"/>
    </row>
    <row r="34" spans="1:4" x14ac:dyDescent="0.25">
      <c r="A34" s="38"/>
      <c r="D34" s="38"/>
    </row>
    <row r="35" spans="1:4" x14ac:dyDescent="0.25">
      <c r="A35" s="38"/>
      <c r="D35" s="38"/>
    </row>
    <row r="36" spans="1:4" x14ac:dyDescent="0.25">
      <c r="A36" s="38"/>
      <c r="D36" s="38"/>
    </row>
    <row r="37" spans="1:4" x14ac:dyDescent="0.25">
      <c r="A37" s="38"/>
      <c r="D37" s="38"/>
    </row>
    <row r="38" spans="1:4" x14ac:dyDescent="0.25">
      <c r="A38" s="38"/>
      <c r="D38" s="38"/>
    </row>
    <row r="39" spans="1:4" x14ac:dyDescent="0.25">
      <c r="A39" s="38"/>
      <c r="D39" s="43"/>
    </row>
    <row r="40" spans="1:4" ht="15.75" thickBot="1" x14ac:dyDescent="0.3">
      <c r="A40" s="38"/>
      <c r="B40" s="41"/>
      <c r="C40" s="41"/>
      <c r="D40" s="44"/>
    </row>
    <row r="41" spans="1:4" ht="15.75" thickTop="1" x14ac:dyDescent="0.25"/>
    <row r="60" spans="2:5" ht="15.75" thickBot="1" x14ac:dyDescent="0.3"/>
    <row r="61" spans="2:5" ht="16.5" thickTop="1" thickBot="1" x14ac:dyDescent="0.3">
      <c r="B61" s="46" t="s">
        <v>96</v>
      </c>
      <c r="C61" s="48" t="e">
        <f>C5</f>
        <v>#REF!</v>
      </c>
      <c r="D61"/>
      <c r="E61"/>
    </row>
    <row r="62" spans="2:5" ht="16.5" thickTop="1" thickBot="1" x14ac:dyDescent="0.3">
      <c r="B62" s="47"/>
      <c r="C62" s="55" t="e">
        <f>1-C61</f>
        <v>#REF!</v>
      </c>
      <c r="D62"/>
      <c r="E62"/>
    </row>
    <row r="63" spans="2:5" ht="15.75" thickTop="1" x14ac:dyDescent="0.25"/>
  </sheetData>
  <mergeCells count="4">
    <mergeCell ref="C5:D5"/>
    <mergeCell ref="B2:D2"/>
    <mergeCell ref="C3:D3"/>
    <mergeCell ref="C4:D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38B4-F9E7-47A8-89CB-8B558F35CD55}">
  <dimension ref="B1:G87"/>
  <sheetViews>
    <sheetView topLeftCell="A68" zoomScale="130" zoomScaleNormal="130" workbookViewId="0">
      <selection activeCell="F87" sqref="F87"/>
    </sheetView>
  </sheetViews>
  <sheetFormatPr defaultRowHeight="15" x14ac:dyDescent="0.25"/>
  <cols>
    <col min="1" max="1" width="18.140625" customWidth="1"/>
    <col min="2" max="2" width="16.7109375" customWidth="1"/>
    <col min="3" max="3" width="20.140625" customWidth="1"/>
    <col min="4" max="4" width="18.42578125" customWidth="1"/>
    <col min="5" max="6" width="20" customWidth="1"/>
    <col min="7" max="7" width="14.7109375" customWidth="1"/>
  </cols>
  <sheetData>
    <row r="1" spans="2:7" ht="15.75" thickBot="1" x14ac:dyDescent="0.3">
      <c r="B1" s="193"/>
      <c r="C1" s="193"/>
      <c r="D1" s="193"/>
      <c r="E1" s="193"/>
      <c r="F1" s="193"/>
    </row>
    <row r="2" spans="2:7" ht="25.5" thickTop="1" thickBot="1" x14ac:dyDescent="0.3">
      <c r="B2" s="194" t="s">
        <v>46</v>
      </c>
      <c r="C2" s="194"/>
      <c r="D2" s="194"/>
      <c r="E2" s="194"/>
      <c r="F2" s="194"/>
      <c r="G2" s="2"/>
    </row>
    <row r="3" spans="2:7" ht="16.5" thickTop="1" thickBot="1" x14ac:dyDescent="0.3">
      <c r="B3" s="195" t="s">
        <v>12</v>
      </c>
      <c r="C3" s="195"/>
      <c r="D3" s="196" t="e">
        <f>#REF!</f>
        <v>#REF!</v>
      </c>
      <c r="E3" s="195"/>
      <c r="F3" s="195"/>
      <c r="G3" s="2"/>
    </row>
    <row r="4" spans="2:7" ht="25.5" thickTop="1" thickBot="1" x14ac:dyDescent="0.3">
      <c r="B4" s="82" t="s">
        <v>49</v>
      </c>
      <c r="C4" s="82" t="s">
        <v>43</v>
      </c>
      <c r="D4" s="82" t="s">
        <v>44</v>
      </c>
      <c r="E4" s="82" t="s">
        <v>45</v>
      </c>
      <c r="F4" s="82" t="s">
        <v>11</v>
      </c>
      <c r="G4" s="2"/>
    </row>
    <row r="5" spans="2:7" ht="17.25" thickTop="1" thickBot="1" x14ac:dyDescent="0.3">
      <c r="B5" s="83">
        <f>'DADOS APLICAÇÃO CALCULO'!F5</f>
        <v>45148</v>
      </c>
      <c r="C5" s="84">
        <f>'DADOS APLICAÇÃO CALCULO'!I21</f>
        <v>1.9699999999999999E-2</v>
      </c>
      <c r="D5" s="84">
        <f>'DADOS APLICAÇÃO CALCULO'!I38</f>
        <v>1.6400000000000001E-2</v>
      </c>
      <c r="E5" s="84" t="e">
        <f>#REF!</f>
        <v>#REF!</v>
      </c>
      <c r="F5" s="85">
        <v>0</v>
      </c>
      <c r="G5" s="2"/>
    </row>
    <row r="6" spans="2:7" ht="24" thickTop="1" thickBot="1" x14ac:dyDescent="0.3">
      <c r="B6" s="86" t="s">
        <v>1</v>
      </c>
      <c r="C6" s="87" t="s">
        <v>47</v>
      </c>
      <c r="D6" s="87" t="s">
        <v>41</v>
      </c>
      <c r="E6" s="87" t="s">
        <v>135</v>
      </c>
      <c r="F6" s="87" t="s">
        <v>39</v>
      </c>
      <c r="G6" s="2"/>
    </row>
    <row r="7" spans="2:7" ht="17.25" thickTop="1" thickBot="1" x14ac:dyDescent="0.3">
      <c r="B7" s="83">
        <f>'DADOS APLICAÇÃO CALCULO'!I22</f>
        <v>45208</v>
      </c>
      <c r="C7" s="85">
        <f>'DADOS APLICAÇÃO CALCULO'!I19</f>
        <v>72</v>
      </c>
      <c r="D7" s="209">
        <f>'DADOS APLICAÇÃO CALCULO'!I20</f>
        <v>1221.3499999999999</v>
      </c>
      <c r="E7" s="88">
        <f>'DADOS APLICAÇÃO CALCULO'!I24</f>
        <v>1183.2065436317491</v>
      </c>
      <c r="F7" s="85">
        <f>'DADOS APLICAÇÃO CALCULO'!I27</f>
        <v>36</v>
      </c>
      <c r="G7" s="2"/>
    </row>
    <row r="8" spans="2:7" ht="28.5" thickTop="1" thickBot="1" x14ac:dyDescent="0.3">
      <c r="B8" s="89" t="s">
        <v>3</v>
      </c>
      <c r="C8" s="90" t="s">
        <v>2</v>
      </c>
      <c r="D8" s="91" t="s">
        <v>13</v>
      </c>
      <c r="E8" s="91" t="s">
        <v>48</v>
      </c>
      <c r="F8" s="90" t="s">
        <v>14</v>
      </c>
    </row>
    <row r="9" spans="2:7" ht="16.5" thickTop="1" thickBot="1" x14ac:dyDescent="0.3">
      <c r="B9" s="92">
        <v>1</v>
      </c>
      <c r="C9" s="93">
        <v>45208</v>
      </c>
      <c r="D9" s="94">
        <v>1221.3499999999999</v>
      </c>
      <c r="E9" s="94">
        <v>1183.21</v>
      </c>
      <c r="F9" s="94">
        <f>D9-E9</f>
        <v>38.139999999999873</v>
      </c>
    </row>
    <row r="10" spans="2:7" ht="16.5" thickTop="1" thickBot="1" x14ac:dyDescent="0.3">
      <c r="B10" s="92">
        <v>2</v>
      </c>
      <c r="C10" s="93">
        <v>45239</v>
      </c>
      <c r="D10" s="94">
        <v>1221.3499999999999</v>
      </c>
      <c r="E10" s="94">
        <v>1183.21</v>
      </c>
      <c r="F10" s="94">
        <f t="shared" ref="F10:F44" si="0">D10-E10</f>
        <v>38.139999999999873</v>
      </c>
    </row>
    <row r="11" spans="2:7" ht="16.5" thickTop="1" thickBot="1" x14ac:dyDescent="0.3">
      <c r="B11" s="92">
        <v>3</v>
      </c>
      <c r="C11" s="93">
        <v>45269</v>
      </c>
      <c r="D11" s="94">
        <v>1221.3499999999999</v>
      </c>
      <c r="E11" s="94">
        <v>1183.21</v>
      </c>
      <c r="F11" s="94">
        <f t="shared" si="0"/>
        <v>38.139999999999873</v>
      </c>
    </row>
    <row r="12" spans="2:7" ht="16.5" thickTop="1" thickBot="1" x14ac:dyDescent="0.3">
      <c r="B12" s="92">
        <v>4</v>
      </c>
      <c r="C12" s="93">
        <v>45300</v>
      </c>
      <c r="D12" s="94">
        <v>1221.3499999999999</v>
      </c>
      <c r="E12" s="94">
        <v>1183.21</v>
      </c>
      <c r="F12" s="94">
        <f t="shared" si="0"/>
        <v>38.139999999999873</v>
      </c>
    </row>
    <row r="13" spans="2:7" ht="16.5" thickTop="1" thickBot="1" x14ac:dyDescent="0.3">
      <c r="B13" s="92">
        <v>5</v>
      </c>
      <c r="C13" s="93">
        <v>45331</v>
      </c>
      <c r="D13" s="94">
        <v>1221.3499999999999</v>
      </c>
      <c r="E13" s="94">
        <v>1183.21</v>
      </c>
      <c r="F13" s="94">
        <f t="shared" si="0"/>
        <v>38.139999999999873</v>
      </c>
    </row>
    <row r="14" spans="2:7" ht="16.5" thickTop="1" thickBot="1" x14ac:dyDescent="0.3">
      <c r="B14" s="92">
        <v>6</v>
      </c>
      <c r="C14" s="93">
        <v>45360</v>
      </c>
      <c r="D14" s="94">
        <v>1221.3499999999999</v>
      </c>
      <c r="E14" s="94">
        <v>1183.21</v>
      </c>
      <c r="F14" s="94">
        <f t="shared" si="0"/>
        <v>38.139999999999873</v>
      </c>
    </row>
    <row r="15" spans="2:7" ht="16.5" thickTop="1" thickBot="1" x14ac:dyDescent="0.3">
      <c r="B15" s="92">
        <v>7</v>
      </c>
      <c r="C15" s="93">
        <v>45391</v>
      </c>
      <c r="D15" s="94">
        <v>1221.3499999999999</v>
      </c>
      <c r="E15" s="94">
        <v>1183.21</v>
      </c>
      <c r="F15" s="94">
        <f t="shared" si="0"/>
        <v>38.139999999999873</v>
      </c>
    </row>
    <row r="16" spans="2:7" ht="16.5" thickTop="1" thickBot="1" x14ac:dyDescent="0.3">
      <c r="B16" s="92">
        <v>8</v>
      </c>
      <c r="C16" s="93">
        <v>45421</v>
      </c>
      <c r="D16" s="94">
        <v>1221.3499999999999</v>
      </c>
      <c r="E16" s="94">
        <v>1183.21</v>
      </c>
      <c r="F16" s="94">
        <f t="shared" si="0"/>
        <v>38.139999999999873</v>
      </c>
    </row>
    <row r="17" spans="2:6" ht="16.5" thickTop="1" thickBot="1" x14ac:dyDescent="0.3">
      <c r="B17" s="92">
        <v>9</v>
      </c>
      <c r="C17" s="93">
        <v>45452</v>
      </c>
      <c r="D17" s="94">
        <v>1221.3499999999999</v>
      </c>
      <c r="E17" s="94">
        <v>1183.21</v>
      </c>
      <c r="F17" s="94">
        <f t="shared" si="0"/>
        <v>38.139999999999873</v>
      </c>
    </row>
    <row r="18" spans="2:6" ht="16.5" thickTop="1" thickBot="1" x14ac:dyDescent="0.3">
      <c r="B18" s="92">
        <v>10</v>
      </c>
      <c r="C18" s="93">
        <v>45482</v>
      </c>
      <c r="D18" s="94">
        <v>1221.3499999999999</v>
      </c>
      <c r="E18" s="94">
        <v>1183.21</v>
      </c>
      <c r="F18" s="94">
        <f t="shared" si="0"/>
        <v>38.139999999999873</v>
      </c>
    </row>
    <row r="19" spans="2:6" ht="16.5" thickTop="1" thickBot="1" x14ac:dyDescent="0.3">
      <c r="B19" s="92">
        <v>11</v>
      </c>
      <c r="C19" s="93">
        <v>45513</v>
      </c>
      <c r="D19" s="94">
        <v>1221.3499999999999</v>
      </c>
      <c r="E19" s="94">
        <v>1183.21</v>
      </c>
      <c r="F19" s="94">
        <f t="shared" si="0"/>
        <v>38.139999999999873</v>
      </c>
    </row>
    <row r="20" spans="2:6" ht="16.5" thickTop="1" thickBot="1" x14ac:dyDescent="0.3">
      <c r="B20" s="92">
        <v>12</v>
      </c>
      <c r="C20" s="93">
        <v>45544</v>
      </c>
      <c r="D20" s="94">
        <v>1221.3499999999999</v>
      </c>
      <c r="E20" s="94">
        <v>1183.21</v>
      </c>
      <c r="F20" s="94">
        <f t="shared" si="0"/>
        <v>38.139999999999873</v>
      </c>
    </row>
    <row r="21" spans="2:6" ht="16.5" thickTop="1" thickBot="1" x14ac:dyDescent="0.3">
      <c r="B21" s="92">
        <v>13</v>
      </c>
      <c r="C21" s="93">
        <v>45574</v>
      </c>
      <c r="D21" s="94">
        <v>1221.3499999999999</v>
      </c>
      <c r="E21" s="94">
        <v>1183.21</v>
      </c>
      <c r="F21" s="94">
        <f t="shared" si="0"/>
        <v>38.139999999999873</v>
      </c>
    </row>
    <row r="22" spans="2:6" ht="16.5" thickTop="1" thickBot="1" x14ac:dyDescent="0.3">
      <c r="B22" s="92">
        <v>14</v>
      </c>
      <c r="C22" s="93">
        <v>45605</v>
      </c>
      <c r="D22" s="94">
        <v>1221.3499999999999</v>
      </c>
      <c r="E22" s="94">
        <v>1183.21</v>
      </c>
      <c r="F22" s="94">
        <f t="shared" si="0"/>
        <v>38.139999999999873</v>
      </c>
    </row>
    <row r="23" spans="2:6" ht="16.5" thickTop="1" thickBot="1" x14ac:dyDescent="0.3">
      <c r="B23" s="92">
        <v>15</v>
      </c>
      <c r="C23" s="93">
        <v>45635</v>
      </c>
      <c r="D23" s="94">
        <v>1221.3499999999999</v>
      </c>
      <c r="E23" s="94">
        <v>1183.21</v>
      </c>
      <c r="F23" s="94">
        <f t="shared" si="0"/>
        <v>38.139999999999873</v>
      </c>
    </row>
    <row r="24" spans="2:6" ht="16.5" thickTop="1" thickBot="1" x14ac:dyDescent="0.3">
      <c r="B24" s="92">
        <v>16</v>
      </c>
      <c r="C24" s="93">
        <v>45666</v>
      </c>
      <c r="D24" s="94">
        <v>1221.3499999999999</v>
      </c>
      <c r="E24" s="94">
        <v>1183.21</v>
      </c>
      <c r="F24" s="94">
        <f t="shared" si="0"/>
        <v>38.139999999999873</v>
      </c>
    </row>
    <row r="25" spans="2:6" ht="16.5" thickTop="1" thickBot="1" x14ac:dyDescent="0.3">
      <c r="B25" s="92">
        <v>17</v>
      </c>
      <c r="C25" s="93">
        <v>45697</v>
      </c>
      <c r="D25" s="94">
        <v>1221.3499999999999</v>
      </c>
      <c r="E25" s="94">
        <v>1183.21</v>
      </c>
      <c r="F25" s="94">
        <f t="shared" si="0"/>
        <v>38.139999999999873</v>
      </c>
    </row>
    <row r="26" spans="2:6" ht="16.5" thickTop="1" thickBot="1" x14ac:dyDescent="0.3">
      <c r="B26" s="92">
        <v>18</v>
      </c>
      <c r="C26" s="93">
        <v>45725</v>
      </c>
      <c r="D26" s="94">
        <v>1221.3499999999999</v>
      </c>
      <c r="E26" s="94">
        <v>1183.21</v>
      </c>
      <c r="F26" s="94">
        <f t="shared" si="0"/>
        <v>38.139999999999873</v>
      </c>
    </row>
    <row r="27" spans="2:6" ht="16.5" thickTop="1" thickBot="1" x14ac:dyDescent="0.3">
      <c r="B27" s="92">
        <v>19</v>
      </c>
      <c r="C27" s="93">
        <v>45756</v>
      </c>
      <c r="D27" s="94">
        <v>1221.3499999999999</v>
      </c>
      <c r="E27" s="94">
        <v>1183.21</v>
      </c>
      <c r="F27" s="94">
        <f t="shared" si="0"/>
        <v>38.139999999999873</v>
      </c>
    </row>
    <row r="28" spans="2:6" ht="16.5" thickTop="1" thickBot="1" x14ac:dyDescent="0.3">
      <c r="B28" s="92">
        <v>20</v>
      </c>
      <c r="C28" s="93">
        <v>45786</v>
      </c>
      <c r="D28" s="94">
        <v>1221.3499999999999</v>
      </c>
      <c r="E28" s="94">
        <v>1183.21</v>
      </c>
      <c r="F28" s="94">
        <f t="shared" si="0"/>
        <v>38.139999999999873</v>
      </c>
    </row>
    <row r="29" spans="2:6" ht="16.5" thickTop="1" thickBot="1" x14ac:dyDescent="0.3">
      <c r="B29" s="92">
        <v>21</v>
      </c>
      <c r="C29" s="93">
        <v>45817</v>
      </c>
      <c r="D29" s="94">
        <v>1221.3499999999999</v>
      </c>
      <c r="E29" s="94">
        <v>1183.21</v>
      </c>
      <c r="F29" s="94">
        <f t="shared" si="0"/>
        <v>38.139999999999873</v>
      </c>
    </row>
    <row r="30" spans="2:6" ht="16.5" thickTop="1" thickBot="1" x14ac:dyDescent="0.3">
      <c r="B30" s="92">
        <v>22</v>
      </c>
      <c r="C30" s="93">
        <v>45847</v>
      </c>
      <c r="D30" s="94">
        <v>1221.3499999999999</v>
      </c>
      <c r="E30" s="94">
        <v>1183.21</v>
      </c>
      <c r="F30" s="94">
        <f t="shared" si="0"/>
        <v>38.139999999999873</v>
      </c>
    </row>
    <row r="31" spans="2:6" ht="16.5" thickTop="1" thickBot="1" x14ac:dyDescent="0.3">
      <c r="B31" s="92">
        <v>23</v>
      </c>
      <c r="C31" s="93">
        <v>45878</v>
      </c>
      <c r="D31" s="94">
        <v>1221.3499999999999</v>
      </c>
      <c r="E31" s="94">
        <v>1183.21</v>
      </c>
      <c r="F31" s="94">
        <f t="shared" si="0"/>
        <v>38.139999999999873</v>
      </c>
    </row>
    <row r="32" spans="2:6" ht="16.5" thickTop="1" thickBot="1" x14ac:dyDescent="0.3">
      <c r="B32" s="92">
        <v>24</v>
      </c>
      <c r="C32" s="93">
        <v>45909</v>
      </c>
      <c r="D32" s="94">
        <v>1221.3499999999999</v>
      </c>
      <c r="E32" s="94">
        <v>1183.21</v>
      </c>
      <c r="F32" s="94">
        <f t="shared" si="0"/>
        <v>38.139999999999873</v>
      </c>
    </row>
    <row r="33" spans="2:6" ht="16.5" thickTop="1" thickBot="1" x14ac:dyDescent="0.3">
      <c r="B33" s="92">
        <v>25</v>
      </c>
      <c r="C33" s="93">
        <v>45939</v>
      </c>
      <c r="D33" s="94">
        <v>1221.3499999999999</v>
      </c>
      <c r="E33" s="94">
        <v>1183.21</v>
      </c>
      <c r="F33" s="94">
        <f t="shared" si="0"/>
        <v>38.139999999999873</v>
      </c>
    </row>
    <row r="34" spans="2:6" ht="16.5" thickTop="1" thickBot="1" x14ac:dyDescent="0.3">
      <c r="B34" s="92">
        <v>26</v>
      </c>
      <c r="C34" s="93">
        <v>45970</v>
      </c>
      <c r="D34" s="94">
        <v>1221.3499999999999</v>
      </c>
      <c r="E34" s="94">
        <v>1183.21</v>
      </c>
      <c r="F34" s="94">
        <f t="shared" si="0"/>
        <v>38.139999999999873</v>
      </c>
    </row>
    <row r="35" spans="2:6" ht="16.5" thickTop="1" thickBot="1" x14ac:dyDescent="0.3">
      <c r="B35" s="92">
        <v>27</v>
      </c>
      <c r="C35" s="93">
        <v>46000</v>
      </c>
      <c r="D35" s="94">
        <v>1221.3499999999999</v>
      </c>
      <c r="E35" s="94">
        <v>1183.21</v>
      </c>
      <c r="F35" s="94">
        <f t="shared" si="0"/>
        <v>38.139999999999873</v>
      </c>
    </row>
    <row r="36" spans="2:6" ht="16.5" thickTop="1" thickBot="1" x14ac:dyDescent="0.3">
      <c r="B36" s="92">
        <v>28</v>
      </c>
      <c r="C36" s="93">
        <v>46031</v>
      </c>
      <c r="D36" s="94">
        <v>1221.3499999999999</v>
      </c>
      <c r="E36" s="94">
        <v>1183.21</v>
      </c>
      <c r="F36" s="94">
        <f t="shared" si="0"/>
        <v>38.139999999999873</v>
      </c>
    </row>
    <row r="37" spans="2:6" ht="16.5" thickTop="1" thickBot="1" x14ac:dyDescent="0.3">
      <c r="B37" s="92">
        <v>29</v>
      </c>
      <c r="C37" s="93">
        <v>46062</v>
      </c>
      <c r="D37" s="94">
        <v>1221.3499999999999</v>
      </c>
      <c r="E37" s="94">
        <v>1183.21</v>
      </c>
      <c r="F37" s="94">
        <f t="shared" si="0"/>
        <v>38.139999999999873</v>
      </c>
    </row>
    <row r="38" spans="2:6" ht="16.5" thickTop="1" thickBot="1" x14ac:dyDescent="0.3">
      <c r="B38" s="92">
        <v>30</v>
      </c>
      <c r="C38" s="93">
        <v>46090</v>
      </c>
      <c r="D38" s="94">
        <v>1221.3499999999999</v>
      </c>
      <c r="E38" s="94">
        <v>1183.21</v>
      </c>
      <c r="F38" s="94">
        <f t="shared" si="0"/>
        <v>38.139999999999873</v>
      </c>
    </row>
    <row r="39" spans="2:6" ht="16.5" thickTop="1" thickBot="1" x14ac:dyDescent="0.3">
      <c r="B39" s="92">
        <v>31</v>
      </c>
      <c r="C39" s="93">
        <v>46121</v>
      </c>
      <c r="D39" s="94">
        <v>1221.3499999999999</v>
      </c>
      <c r="E39" s="94">
        <v>1183.21</v>
      </c>
      <c r="F39" s="94">
        <f t="shared" si="0"/>
        <v>38.139999999999873</v>
      </c>
    </row>
    <row r="40" spans="2:6" ht="16.5" thickTop="1" thickBot="1" x14ac:dyDescent="0.3">
      <c r="B40" s="92">
        <v>32</v>
      </c>
      <c r="C40" s="93">
        <v>46151</v>
      </c>
      <c r="D40" s="94">
        <v>1221.3499999999999</v>
      </c>
      <c r="E40" s="94">
        <v>1183.21</v>
      </c>
      <c r="F40" s="94">
        <f t="shared" si="0"/>
        <v>38.139999999999873</v>
      </c>
    </row>
    <row r="41" spans="2:6" ht="16.5" thickTop="1" thickBot="1" x14ac:dyDescent="0.3">
      <c r="B41" s="92">
        <v>33</v>
      </c>
      <c r="C41" s="93">
        <v>46182</v>
      </c>
      <c r="D41" s="94">
        <v>1221.3499999999999</v>
      </c>
      <c r="E41" s="94">
        <v>1183.21</v>
      </c>
      <c r="F41" s="94">
        <f t="shared" si="0"/>
        <v>38.139999999999873</v>
      </c>
    </row>
    <row r="42" spans="2:6" ht="16.5" thickTop="1" thickBot="1" x14ac:dyDescent="0.3">
      <c r="B42" s="92">
        <v>34</v>
      </c>
      <c r="C42" s="93">
        <v>46212</v>
      </c>
      <c r="D42" s="94">
        <v>1221.3499999999999</v>
      </c>
      <c r="E42" s="94">
        <v>1183.21</v>
      </c>
      <c r="F42" s="94">
        <f t="shared" si="0"/>
        <v>38.139999999999873</v>
      </c>
    </row>
    <row r="43" spans="2:6" ht="16.5" thickTop="1" thickBot="1" x14ac:dyDescent="0.3">
      <c r="B43" s="92">
        <v>35</v>
      </c>
      <c r="C43" s="93">
        <v>46243</v>
      </c>
      <c r="D43" s="94">
        <v>1221.3499999999999</v>
      </c>
      <c r="E43" s="94">
        <v>1183.21</v>
      </c>
      <c r="F43" s="94">
        <f t="shared" si="0"/>
        <v>38.139999999999873</v>
      </c>
    </row>
    <row r="44" spans="2:6" ht="16.5" thickTop="1" thickBot="1" x14ac:dyDescent="0.3">
      <c r="B44" s="92">
        <v>36</v>
      </c>
      <c r="C44" s="93">
        <v>46274</v>
      </c>
      <c r="D44" s="94">
        <v>1221.3499999999999</v>
      </c>
      <c r="E44" s="94">
        <v>1183.21</v>
      </c>
      <c r="F44" s="94">
        <f t="shared" si="0"/>
        <v>38.139999999999873</v>
      </c>
    </row>
    <row r="45" spans="2:6" ht="17.25" thickTop="1" thickBot="1" x14ac:dyDescent="0.3">
      <c r="B45" s="210"/>
      <c r="C45" s="211"/>
      <c r="D45" s="197" t="s">
        <v>50</v>
      </c>
      <c r="E45" s="197"/>
      <c r="F45" s="99">
        <f>SUM(F9:F44)</f>
        <v>1373.0399999999954</v>
      </c>
    </row>
    <row r="46" spans="2:6" ht="17.25" thickTop="1" thickBot="1" x14ac:dyDescent="0.3">
      <c r="B46" s="212"/>
      <c r="C46" s="213"/>
      <c r="D46" s="197" t="s">
        <v>51</v>
      </c>
      <c r="E46" s="197"/>
      <c r="F46" s="99">
        <f>F45*2</f>
        <v>2746.0799999999908</v>
      </c>
    </row>
    <row r="47" spans="2:6" ht="16.5" thickTop="1" thickBot="1" x14ac:dyDescent="0.3">
      <c r="B47" s="92">
        <v>36</v>
      </c>
      <c r="C47" s="93">
        <v>46304</v>
      </c>
      <c r="D47" s="95">
        <v>1221.3499999999999</v>
      </c>
      <c r="E47" s="94">
        <v>1183.21</v>
      </c>
      <c r="F47" s="101"/>
    </row>
    <row r="48" spans="2:6" ht="16.5" thickTop="1" thickBot="1" x14ac:dyDescent="0.3">
      <c r="B48" s="92">
        <v>37</v>
      </c>
      <c r="C48" s="93">
        <v>46335</v>
      </c>
      <c r="D48" s="95">
        <v>1221.3499999999999</v>
      </c>
      <c r="E48" s="94">
        <v>1183.21</v>
      </c>
      <c r="F48" s="101"/>
    </row>
    <row r="49" spans="2:6" ht="16.5" thickTop="1" thickBot="1" x14ac:dyDescent="0.3">
      <c r="B49" s="92">
        <v>38</v>
      </c>
      <c r="C49" s="93">
        <v>46365</v>
      </c>
      <c r="D49" s="95">
        <v>1221.3499999999999</v>
      </c>
      <c r="E49" s="94">
        <v>1183.21</v>
      </c>
      <c r="F49" s="101"/>
    </row>
    <row r="50" spans="2:6" ht="16.5" thickTop="1" thickBot="1" x14ac:dyDescent="0.3">
      <c r="B50" s="92">
        <v>39</v>
      </c>
      <c r="C50" s="93">
        <v>46396</v>
      </c>
      <c r="D50" s="95">
        <v>1221.3499999999999</v>
      </c>
      <c r="E50" s="94">
        <v>1183.21</v>
      </c>
      <c r="F50" s="101"/>
    </row>
    <row r="51" spans="2:6" ht="16.5" thickTop="1" thickBot="1" x14ac:dyDescent="0.3">
      <c r="B51" s="92">
        <v>40</v>
      </c>
      <c r="C51" s="93">
        <v>46427</v>
      </c>
      <c r="D51" s="95">
        <v>1221.3499999999999</v>
      </c>
      <c r="E51" s="94">
        <v>1183.21</v>
      </c>
      <c r="F51" s="101"/>
    </row>
    <row r="52" spans="2:6" ht="16.5" thickTop="1" thickBot="1" x14ac:dyDescent="0.3">
      <c r="B52" s="92">
        <v>41</v>
      </c>
      <c r="C52" s="93">
        <v>46455</v>
      </c>
      <c r="D52" s="95">
        <v>1221.3499999999999</v>
      </c>
      <c r="E52" s="94">
        <v>1183.21</v>
      </c>
      <c r="F52" s="101"/>
    </row>
    <row r="53" spans="2:6" ht="16.5" thickTop="1" thickBot="1" x14ac:dyDescent="0.3">
      <c r="B53" s="92">
        <v>42</v>
      </c>
      <c r="C53" s="93">
        <v>46486</v>
      </c>
      <c r="D53" s="95">
        <v>1221.3499999999999</v>
      </c>
      <c r="E53" s="94">
        <v>1183.21</v>
      </c>
      <c r="F53" s="101"/>
    </row>
    <row r="54" spans="2:6" ht="16.5" thickTop="1" thickBot="1" x14ac:dyDescent="0.3">
      <c r="B54" s="92">
        <v>43</v>
      </c>
      <c r="C54" s="93">
        <v>46516</v>
      </c>
      <c r="D54" s="95">
        <v>1221.3499999999999</v>
      </c>
      <c r="E54" s="94">
        <v>1183.21</v>
      </c>
      <c r="F54" s="101"/>
    </row>
    <row r="55" spans="2:6" ht="16.5" thickTop="1" thickBot="1" x14ac:dyDescent="0.3">
      <c r="B55" s="92">
        <v>44</v>
      </c>
      <c r="C55" s="93">
        <v>46547</v>
      </c>
      <c r="D55" s="95">
        <v>1221.3499999999999</v>
      </c>
      <c r="E55" s="94">
        <v>1183.21</v>
      </c>
      <c r="F55" s="101"/>
    </row>
    <row r="56" spans="2:6" ht="16.5" thickTop="1" thickBot="1" x14ac:dyDescent="0.3">
      <c r="B56" s="92">
        <v>45</v>
      </c>
      <c r="C56" s="93">
        <v>46577</v>
      </c>
      <c r="D56" s="95">
        <v>1221.3499999999999</v>
      </c>
      <c r="E56" s="94">
        <v>1183.21</v>
      </c>
      <c r="F56" s="101"/>
    </row>
    <row r="57" spans="2:6" ht="16.5" thickTop="1" thickBot="1" x14ac:dyDescent="0.3">
      <c r="B57" s="92">
        <v>46</v>
      </c>
      <c r="C57" s="93">
        <v>46608</v>
      </c>
      <c r="D57" s="95">
        <v>1221.3499999999999</v>
      </c>
      <c r="E57" s="94">
        <v>1183.21</v>
      </c>
      <c r="F57" s="101"/>
    </row>
    <row r="58" spans="2:6" ht="16.5" thickTop="1" thickBot="1" x14ac:dyDescent="0.3">
      <c r="B58" s="92">
        <v>47</v>
      </c>
      <c r="C58" s="93">
        <v>46639</v>
      </c>
      <c r="D58" s="95">
        <v>1221.3499999999999</v>
      </c>
      <c r="E58" s="94">
        <v>1183.21</v>
      </c>
      <c r="F58" s="101"/>
    </row>
    <row r="59" spans="2:6" ht="16.5" thickTop="1" thickBot="1" x14ac:dyDescent="0.3">
      <c r="B59" s="92">
        <v>48</v>
      </c>
      <c r="C59" s="93">
        <v>46669</v>
      </c>
      <c r="D59" s="95">
        <v>1221.3499999999999</v>
      </c>
      <c r="E59" s="94">
        <v>1183.21</v>
      </c>
      <c r="F59" s="101"/>
    </row>
    <row r="60" spans="2:6" ht="16.5" thickTop="1" thickBot="1" x14ac:dyDescent="0.3">
      <c r="B60" s="92">
        <v>49</v>
      </c>
      <c r="C60" s="93">
        <v>46700</v>
      </c>
      <c r="D60" s="95">
        <v>1221.3499999999999</v>
      </c>
      <c r="E60" s="94">
        <v>1183.21</v>
      </c>
      <c r="F60" s="101"/>
    </row>
    <row r="61" spans="2:6" ht="16.5" thickTop="1" thickBot="1" x14ac:dyDescent="0.3">
      <c r="B61" s="92">
        <v>50</v>
      </c>
      <c r="C61" s="93">
        <v>46730</v>
      </c>
      <c r="D61" s="95">
        <v>1221.3499999999999</v>
      </c>
      <c r="E61" s="94">
        <v>1183.21</v>
      </c>
      <c r="F61" s="101"/>
    </row>
    <row r="62" spans="2:6" ht="16.5" thickTop="1" thickBot="1" x14ac:dyDescent="0.3">
      <c r="B62" s="92">
        <v>51</v>
      </c>
      <c r="C62" s="93">
        <v>46761</v>
      </c>
      <c r="D62" s="95">
        <v>1221.3499999999999</v>
      </c>
      <c r="E62" s="94">
        <v>1183.21</v>
      </c>
      <c r="F62" s="101"/>
    </row>
    <row r="63" spans="2:6" ht="16.5" thickTop="1" thickBot="1" x14ac:dyDescent="0.3">
      <c r="B63" s="92">
        <v>52</v>
      </c>
      <c r="C63" s="93">
        <v>46792</v>
      </c>
      <c r="D63" s="95">
        <v>1221.3499999999999</v>
      </c>
      <c r="E63" s="94">
        <v>1183.21</v>
      </c>
      <c r="F63" s="101"/>
    </row>
    <row r="64" spans="2:6" ht="16.5" thickTop="1" thickBot="1" x14ac:dyDescent="0.3">
      <c r="B64" s="92">
        <v>53</v>
      </c>
      <c r="C64" s="93">
        <v>46821</v>
      </c>
      <c r="D64" s="95">
        <v>1221.3499999999999</v>
      </c>
      <c r="E64" s="94">
        <v>1183.21</v>
      </c>
      <c r="F64" s="101"/>
    </row>
    <row r="65" spans="2:6" ht="16.5" thickTop="1" thickBot="1" x14ac:dyDescent="0.3">
      <c r="B65" s="92">
        <v>54</v>
      </c>
      <c r="C65" s="93">
        <v>46852</v>
      </c>
      <c r="D65" s="95">
        <v>1221.3499999999999</v>
      </c>
      <c r="E65" s="94">
        <v>1183.21</v>
      </c>
      <c r="F65" s="101"/>
    </row>
    <row r="66" spans="2:6" ht="16.5" thickTop="1" thickBot="1" x14ac:dyDescent="0.3">
      <c r="B66" s="92">
        <v>55</v>
      </c>
      <c r="C66" s="93">
        <v>46882</v>
      </c>
      <c r="D66" s="95">
        <v>1221.3499999999999</v>
      </c>
      <c r="E66" s="94">
        <v>1183.21</v>
      </c>
      <c r="F66" s="101"/>
    </row>
    <row r="67" spans="2:6" ht="16.5" thickTop="1" thickBot="1" x14ac:dyDescent="0.3">
      <c r="B67" s="92">
        <v>56</v>
      </c>
      <c r="C67" s="93">
        <v>46913</v>
      </c>
      <c r="D67" s="95">
        <v>1221.3499999999999</v>
      </c>
      <c r="E67" s="94">
        <v>1183.21</v>
      </c>
      <c r="F67" s="101"/>
    </row>
    <row r="68" spans="2:6" ht="16.5" thickTop="1" thickBot="1" x14ac:dyDescent="0.3">
      <c r="B68" s="92">
        <v>57</v>
      </c>
      <c r="C68" s="93">
        <v>46943</v>
      </c>
      <c r="D68" s="95">
        <v>1221.3499999999999</v>
      </c>
      <c r="E68" s="94">
        <v>1183.21</v>
      </c>
      <c r="F68" s="101"/>
    </row>
    <row r="69" spans="2:6" ht="16.5" thickTop="1" thickBot="1" x14ac:dyDescent="0.3">
      <c r="B69" s="92">
        <v>58</v>
      </c>
      <c r="C69" s="93">
        <v>46974</v>
      </c>
      <c r="D69" s="95">
        <v>1221.3499999999999</v>
      </c>
      <c r="E69" s="94">
        <v>1183.21</v>
      </c>
      <c r="F69" s="101"/>
    </row>
    <row r="70" spans="2:6" ht="16.5" thickTop="1" thickBot="1" x14ac:dyDescent="0.3">
      <c r="B70" s="92">
        <v>59</v>
      </c>
      <c r="C70" s="93">
        <v>47005</v>
      </c>
      <c r="D70" s="95">
        <v>1221.3499999999999</v>
      </c>
      <c r="E70" s="94">
        <v>1183.21</v>
      </c>
      <c r="F70" s="101"/>
    </row>
    <row r="71" spans="2:6" ht="16.5" thickTop="1" thickBot="1" x14ac:dyDescent="0.3">
      <c r="B71" s="92">
        <v>60</v>
      </c>
      <c r="C71" s="93">
        <v>47035</v>
      </c>
      <c r="D71" s="95">
        <v>1221.3499999999999</v>
      </c>
      <c r="E71" s="94">
        <v>1183.21</v>
      </c>
      <c r="F71" s="101"/>
    </row>
    <row r="72" spans="2:6" ht="16.5" thickTop="1" thickBot="1" x14ac:dyDescent="0.3">
      <c r="B72" s="92">
        <v>61</v>
      </c>
      <c r="C72" s="93">
        <v>47066</v>
      </c>
      <c r="D72" s="95">
        <v>1221.3499999999999</v>
      </c>
      <c r="E72" s="94">
        <v>1183.21</v>
      </c>
      <c r="F72" s="101"/>
    </row>
    <row r="73" spans="2:6" ht="16.5" thickTop="1" thickBot="1" x14ac:dyDescent="0.3">
      <c r="B73" s="92">
        <v>62</v>
      </c>
      <c r="C73" s="93">
        <v>47096</v>
      </c>
      <c r="D73" s="95">
        <v>1221.3499999999999</v>
      </c>
      <c r="E73" s="94">
        <v>1183.21</v>
      </c>
      <c r="F73" s="101"/>
    </row>
    <row r="74" spans="2:6" ht="16.5" thickTop="1" thickBot="1" x14ac:dyDescent="0.3">
      <c r="B74" s="92">
        <v>63</v>
      </c>
      <c r="C74" s="93">
        <v>47127</v>
      </c>
      <c r="D74" s="95">
        <v>1221.3499999999999</v>
      </c>
      <c r="E74" s="94">
        <v>1183.21</v>
      </c>
      <c r="F74" s="101"/>
    </row>
    <row r="75" spans="2:6" ht="16.5" thickTop="1" thickBot="1" x14ac:dyDescent="0.3">
      <c r="B75" s="92">
        <v>64</v>
      </c>
      <c r="C75" s="93">
        <v>47158</v>
      </c>
      <c r="D75" s="95">
        <v>1221.3499999999999</v>
      </c>
      <c r="E75" s="94">
        <v>1183.21</v>
      </c>
      <c r="F75" s="101"/>
    </row>
    <row r="76" spans="2:6" ht="16.5" thickTop="1" thickBot="1" x14ac:dyDescent="0.3">
      <c r="B76" s="92">
        <v>65</v>
      </c>
      <c r="C76" s="93">
        <v>47186</v>
      </c>
      <c r="D76" s="95">
        <v>1221.3499999999999</v>
      </c>
      <c r="E76" s="94">
        <v>1183.21</v>
      </c>
      <c r="F76" s="101"/>
    </row>
    <row r="77" spans="2:6" ht="16.5" thickTop="1" thickBot="1" x14ac:dyDescent="0.3">
      <c r="B77" s="92">
        <v>66</v>
      </c>
      <c r="C77" s="93">
        <v>47217</v>
      </c>
      <c r="D77" s="95">
        <v>1221.3499999999999</v>
      </c>
      <c r="E77" s="94">
        <v>1183.21</v>
      </c>
      <c r="F77" s="101"/>
    </row>
    <row r="78" spans="2:6" ht="16.5" thickTop="1" thickBot="1" x14ac:dyDescent="0.3">
      <c r="B78" s="92">
        <v>67</v>
      </c>
      <c r="C78" s="93">
        <v>47247</v>
      </c>
      <c r="D78" s="95">
        <v>1221.3499999999999</v>
      </c>
      <c r="E78" s="94">
        <v>1183.21</v>
      </c>
      <c r="F78" s="101"/>
    </row>
    <row r="79" spans="2:6" ht="16.5" thickTop="1" thickBot="1" x14ac:dyDescent="0.3">
      <c r="B79" s="92">
        <v>68</v>
      </c>
      <c r="C79" s="93">
        <v>47278</v>
      </c>
      <c r="D79" s="95">
        <v>1221.3499999999999</v>
      </c>
      <c r="E79" s="94">
        <v>1183.21</v>
      </c>
      <c r="F79" s="101"/>
    </row>
    <row r="80" spans="2:6" ht="16.5" thickTop="1" thickBot="1" x14ac:dyDescent="0.3">
      <c r="B80" s="92">
        <v>69</v>
      </c>
      <c r="C80" s="93">
        <v>47308</v>
      </c>
      <c r="D80" s="95">
        <v>1221.3499999999999</v>
      </c>
      <c r="E80" s="94">
        <v>1183.21</v>
      </c>
      <c r="F80" s="101"/>
    </row>
    <row r="81" spans="2:6" ht="16.5" thickTop="1" thickBot="1" x14ac:dyDescent="0.3">
      <c r="B81" s="92">
        <v>70</v>
      </c>
      <c r="C81" s="93">
        <v>47339</v>
      </c>
      <c r="D81" s="95">
        <v>1221.3499999999999</v>
      </c>
      <c r="E81" s="94">
        <v>1183.21</v>
      </c>
      <c r="F81" s="101"/>
    </row>
    <row r="82" spans="2:6" ht="16.5" thickTop="1" thickBot="1" x14ac:dyDescent="0.3">
      <c r="B82" s="92">
        <v>71</v>
      </c>
      <c r="C82" s="93">
        <v>47370</v>
      </c>
      <c r="D82" s="95">
        <v>1221.3499999999999</v>
      </c>
      <c r="E82" s="94">
        <v>1183.21</v>
      </c>
      <c r="F82" s="101"/>
    </row>
    <row r="83" spans="2:6" ht="16.5" thickTop="1" thickBot="1" x14ac:dyDescent="0.3">
      <c r="B83" s="92">
        <v>72</v>
      </c>
      <c r="C83" s="93">
        <v>47400</v>
      </c>
      <c r="D83" s="95">
        <v>1221.3499999999999</v>
      </c>
      <c r="E83" s="94">
        <v>1183.21</v>
      </c>
      <c r="F83" s="101"/>
    </row>
    <row r="84" spans="2:6" ht="16.5" thickTop="1" thickBot="1" x14ac:dyDescent="0.3">
      <c r="B84" s="202" t="s">
        <v>134</v>
      </c>
      <c r="C84" s="203"/>
      <c r="D84" s="97">
        <f>SUM(D47:D83)</f>
        <v>45189.949999999968</v>
      </c>
      <c r="E84" s="98"/>
      <c r="F84" s="98"/>
    </row>
    <row r="85" spans="2:6" ht="16.5" thickTop="1" thickBot="1" x14ac:dyDescent="0.3">
      <c r="B85" s="204" t="s">
        <v>132</v>
      </c>
      <c r="C85" s="205"/>
      <c r="D85" s="206"/>
      <c r="E85" s="97">
        <f>SUM(E47:E84)</f>
        <v>43778.769999999975</v>
      </c>
      <c r="F85" s="98"/>
    </row>
    <row r="86" spans="2:6" ht="16.5" thickTop="1" thickBot="1" x14ac:dyDescent="0.3">
      <c r="C86" s="191" t="s">
        <v>133</v>
      </c>
      <c r="D86" s="192"/>
      <c r="E86" s="96">
        <f>D84-E85</f>
        <v>1411.179999999993</v>
      </c>
      <c r="F86" s="96">
        <f>E86+F46</f>
        <v>4157.2599999999838</v>
      </c>
    </row>
    <row r="87" spans="2:6" ht="15.75" thickTop="1" x14ac:dyDescent="0.25"/>
  </sheetData>
  <mergeCells count="10">
    <mergeCell ref="B84:C84"/>
    <mergeCell ref="B85:D85"/>
    <mergeCell ref="C86:D86"/>
    <mergeCell ref="B1:F1"/>
    <mergeCell ref="B2:F2"/>
    <mergeCell ref="B3:C3"/>
    <mergeCell ref="D3:F3"/>
    <mergeCell ref="B45:C46"/>
    <mergeCell ref="D45:E45"/>
    <mergeCell ref="D46:E4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0329-3777-4F3D-94CC-B16B7DA0B99F}">
  <dimension ref="A1:E63"/>
  <sheetViews>
    <sheetView topLeftCell="A28" workbookViewId="0">
      <selection activeCell="I13" sqref="I13"/>
    </sheetView>
  </sheetViews>
  <sheetFormatPr defaultRowHeight="15" x14ac:dyDescent="0.25"/>
  <cols>
    <col min="1" max="1" width="2.85546875" style="2" customWidth="1"/>
    <col min="2" max="2" width="63.7109375" style="2" customWidth="1"/>
    <col min="3" max="3" width="19.5703125" style="2" customWidth="1"/>
    <col min="4" max="4" width="9.140625" style="2"/>
    <col min="5" max="5" width="3.42578125" style="2" customWidth="1"/>
  </cols>
  <sheetData>
    <row r="1" spans="1:4" ht="15.75" thickBot="1" x14ac:dyDescent="0.3"/>
    <row r="2" spans="1:4" ht="22.5" thickTop="1" thickBot="1" x14ac:dyDescent="0.4">
      <c r="B2" s="207" t="s">
        <v>65</v>
      </c>
      <c r="C2" s="207"/>
      <c r="D2" s="207"/>
    </row>
    <row r="3" spans="1:4" ht="22.5" thickTop="1" thickBot="1" x14ac:dyDescent="0.4">
      <c r="B3" s="37" t="s">
        <v>143</v>
      </c>
      <c r="C3" s="208">
        <f>'DADOS APLICAÇÃO CALCULO'!I21</f>
        <v>1.9699999999999999E-2</v>
      </c>
      <c r="D3" s="208"/>
    </row>
    <row r="4" spans="1:4" ht="22.5" thickTop="1" thickBot="1" x14ac:dyDescent="0.4">
      <c r="B4" s="37" t="s">
        <v>26</v>
      </c>
      <c r="C4" s="208">
        <f>'DADOS APLICAÇÃO CALCULO'!I23</f>
        <v>2.0851286173794104E-2</v>
      </c>
      <c r="D4" s="208"/>
    </row>
    <row r="5" spans="1:4" ht="22.5" thickTop="1" thickBot="1" x14ac:dyDescent="0.4">
      <c r="B5" s="37" t="s">
        <v>144</v>
      </c>
      <c r="C5" s="208">
        <f>((C4-C3)/C3)</f>
        <v>5.8440922527619572E-2</v>
      </c>
      <c r="D5" s="208"/>
    </row>
    <row r="6" spans="1:4" ht="15.75" thickTop="1" x14ac:dyDescent="0.25">
      <c r="A6" s="38"/>
      <c r="D6" s="39"/>
    </row>
    <row r="7" spans="1:4" x14ac:dyDescent="0.25">
      <c r="A7" s="38"/>
      <c r="D7" s="38"/>
    </row>
    <row r="8" spans="1:4" x14ac:dyDescent="0.25">
      <c r="A8" s="38"/>
      <c r="D8" s="38"/>
    </row>
    <row r="9" spans="1:4" x14ac:dyDescent="0.25">
      <c r="A9" s="38"/>
      <c r="D9" s="38"/>
    </row>
    <row r="10" spans="1:4" x14ac:dyDescent="0.25">
      <c r="A10" s="38"/>
      <c r="D10" s="38"/>
    </row>
    <row r="11" spans="1:4" x14ac:dyDescent="0.25">
      <c r="A11" s="38"/>
      <c r="D11" s="38"/>
    </row>
    <row r="12" spans="1:4" x14ac:dyDescent="0.25">
      <c r="A12" s="38"/>
      <c r="D12" s="38"/>
    </row>
    <row r="13" spans="1:4" x14ac:dyDescent="0.25">
      <c r="A13" s="38"/>
      <c r="D13" s="38"/>
    </row>
    <row r="14" spans="1:4" x14ac:dyDescent="0.25">
      <c r="A14" s="38"/>
      <c r="D14" s="38"/>
    </row>
    <row r="15" spans="1:4" x14ac:dyDescent="0.25">
      <c r="A15" s="38"/>
      <c r="D15" s="38"/>
    </row>
    <row r="16" spans="1:4" x14ac:dyDescent="0.25">
      <c r="A16" s="38"/>
      <c r="D16" s="38"/>
    </row>
    <row r="17" spans="1:5" x14ac:dyDescent="0.25">
      <c r="A17" s="38"/>
      <c r="D17" s="38"/>
    </row>
    <row r="18" spans="1:5" x14ac:dyDescent="0.25">
      <c r="A18" s="38"/>
      <c r="D18" s="38"/>
    </row>
    <row r="19" spans="1:5" x14ac:dyDescent="0.25">
      <c r="A19" s="38"/>
      <c r="D19" s="38"/>
    </row>
    <row r="20" spans="1:5" x14ac:dyDescent="0.25">
      <c r="A20" s="38"/>
      <c r="D20" s="38"/>
    </row>
    <row r="21" spans="1:5" x14ac:dyDescent="0.25">
      <c r="A21" s="38"/>
      <c r="D21" s="38"/>
    </row>
    <row r="22" spans="1:5" x14ac:dyDescent="0.25">
      <c r="A22" s="38"/>
      <c r="D22" s="38"/>
    </row>
    <row r="23" spans="1:5" ht="15.75" thickBot="1" x14ac:dyDescent="0.3">
      <c r="A23" s="38"/>
      <c r="B23" s="40"/>
      <c r="C23" s="41"/>
      <c r="D23" s="42"/>
    </row>
    <row r="24" spans="1:5" ht="16.5" thickTop="1" thickBot="1" x14ac:dyDescent="0.3">
      <c r="A24" s="49"/>
      <c r="B24" s="50"/>
      <c r="C24" s="51"/>
      <c r="D24" s="52"/>
    </row>
    <row r="25" spans="1:5" ht="15.75" thickTop="1" x14ac:dyDescent="0.25">
      <c r="A25" s="38"/>
      <c r="B25"/>
      <c r="C25"/>
      <c r="D25" s="53"/>
      <c r="E25" s="54"/>
    </row>
    <row r="26" spans="1:5" x14ac:dyDescent="0.25">
      <c r="A26" s="38"/>
      <c r="D26" s="38"/>
    </row>
    <row r="27" spans="1:5" x14ac:dyDescent="0.25">
      <c r="A27" s="38"/>
      <c r="D27" s="38"/>
    </row>
    <row r="28" spans="1:5" x14ac:dyDescent="0.25">
      <c r="A28" s="38"/>
      <c r="D28" s="38"/>
    </row>
    <row r="29" spans="1:5" x14ac:dyDescent="0.25">
      <c r="A29" s="38"/>
      <c r="D29" s="38"/>
    </row>
    <row r="30" spans="1:5" x14ac:dyDescent="0.25">
      <c r="A30" s="38"/>
      <c r="D30" s="38"/>
    </row>
    <row r="31" spans="1:5" x14ac:dyDescent="0.25">
      <c r="A31" s="38"/>
      <c r="D31" s="38"/>
    </row>
    <row r="32" spans="1:5" x14ac:dyDescent="0.25">
      <c r="A32" s="38"/>
      <c r="D32" s="38"/>
    </row>
    <row r="33" spans="1:4" x14ac:dyDescent="0.25">
      <c r="A33" s="38"/>
      <c r="D33" s="38"/>
    </row>
    <row r="34" spans="1:4" x14ac:dyDescent="0.25">
      <c r="A34" s="38"/>
      <c r="D34" s="38"/>
    </row>
    <row r="35" spans="1:4" x14ac:dyDescent="0.25">
      <c r="A35" s="38"/>
      <c r="D35" s="38"/>
    </row>
    <row r="36" spans="1:4" x14ac:dyDescent="0.25">
      <c r="A36" s="38"/>
      <c r="D36" s="38"/>
    </row>
    <row r="37" spans="1:4" x14ac:dyDescent="0.25">
      <c r="A37" s="38"/>
      <c r="D37" s="38"/>
    </row>
    <row r="38" spans="1:4" x14ac:dyDescent="0.25">
      <c r="A38" s="38"/>
      <c r="D38" s="38"/>
    </row>
    <row r="39" spans="1:4" x14ac:dyDescent="0.25">
      <c r="A39" s="38"/>
      <c r="D39" s="43"/>
    </row>
    <row r="40" spans="1:4" ht="15.75" thickBot="1" x14ac:dyDescent="0.3">
      <c r="A40" s="38"/>
      <c r="B40" s="41"/>
      <c r="C40" s="41"/>
      <c r="D40" s="44"/>
    </row>
    <row r="41" spans="1:4" ht="15.75" thickTop="1" x14ac:dyDescent="0.25"/>
    <row r="60" spans="2:5" ht="15.75" thickBot="1" x14ac:dyDescent="0.3"/>
    <row r="61" spans="2:5" ht="16.5" thickTop="1" thickBot="1" x14ac:dyDescent="0.3">
      <c r="B61" s="46" t="s">
        <v>96</v>
      </c>
      <c r="C61" s="48">
        <f>C5</f>
        <v>5.8440922527619572E-2</v>
      </c>
      <c r="D61"/>
      <c r="E61"/>
    </row>
    <row r="62" spans="2:5" ht="16.5" thickTop="1" thickBot="1" x14ac:dyDescent="0.3">
      <c r="B62" s="47"/>
      <c r="C62" s="55">
        <f>1-C61</f>
        <v>0.94155907747238043</v>
      </c>
      <c r="D62"/>
      <c r="E62"/>
    </row>
    <row r="63" spans="2:5" ht="15.75" thickTop="1" x14ac:dyDescent="0.25"/>
  </sheetData>
  <mergeCells count="4">
    <mergeCell ref="B2:D2"/>
    <mergeCell ref="C3:D3"/>
    <mergeCell ref="C4:D4"/>
    <mergeCell ref="C5:D5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DADOS APLICAÇÃO CALCULO</vt:lpstr>
      <vt:lpstr>CALCULO DE DATAS</vt:lpstr>
      <vt:lpstr>TAXA MEDIA </vt:lpstr>
      <vt:lpstr>TODOS 6 CALCULOS</vt:lpstr>
      <vt:lpstr>1.1 QUITACAO PARCIAL TAXA MEDIA</vt:lpstr>
      <vt:lpstr>1.1. INDICE ACIMA TAXA MEDIA</vt:lpstr>
      <vt:lpstr>2.2 QUITAÇÃO PARCIAL TAX IN 28</vt:lpstr>
      <vt:lpstr>2.2 INDICE ACIMA DA TAXA IN 28</vt:lpstr>
      <vt:lpstr>3.3 QUITAÇÃO TAXA CONTRATUAL</vt:lpstr>
      <vt:lpstr>3.3 INDICE ACIMA TAXA CONTRATUA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Hicon Calc</dc:creator>
  <cp:lastModifiedBy>Hicon Calc</cp:lastModifiedBy>
  <cp:lastPrinted>2026-09-21T15:28:30Z</cp:lastPrinted>
  <dcterms:created xsi:type="dcterms:W3CDTF">2026-02-12T03:01:51Z</dcterms:created>
  <dcterms:modified xsi:type="dcterms:W3CDTF">2026-09-25T14:52:20Z</dcterms:modified>
</cp:coreProperties>
</file>