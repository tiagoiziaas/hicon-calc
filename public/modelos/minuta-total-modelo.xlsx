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D07751C0-0668-418B-B993-695AE04E653B}" xr6:coauthVersionLast="47" xr6:coauthVersionMax="47" xr10:uidLastSave="{00000000-0000-0000-0000-000000000000}"/>
  <bookViews>
    <workbookView xWindow="-120" yWindow="-120" windowWidth="38640" windowHeight="15840" tabRatio="865" firstSheet="3" activeTab="9" xr2:uid="{00000000-000D-0000-FFFF-FFFF00000000}"/>
  </bookViews>
  <sheets>
    <sheet name="DADOS PARA PETIÇÃO INICIAL" sheetId="63" r:id="rId1"/>
    <sheet name="CALCULO DE DATAS" sheetId="93" r:id="rId2"/>
    <sheet name="TODOS 6 CALCULOS" sheetId="81" r:id="rId3"/>
    <sheet name="Planilha1" sheetId="94" r:id="rId4"/>
    <sheet name="Planilha2" sheetId="95" r:id="rId5"/>
    <sheet name="INDICES BACARIOS APURAR TX MEDI" sheetId="57" r:id="rId6"/>
    <sheet name="1.1.1 QUITAÇÃO PELA TAXA MEDIA" sheetId="82" r:id="rId7"/>
    <sheet name="1.1.1 PERCENTUAL TAXA MEDIA" sheetId="86" r:id="rId8"/>
    <sheet name="2.2.2 QUITAÇÃO PELA IN  28 INSS" sheetId="88" r:id="rId9"/>
    <sheet name="2.2.2 PERCENTUAL IN 28" sheetId="91" r:id="rId10"/>
    <sheet name="3.3.3 QUITAÇÃO TAXA CONTRATUAL" sheetId="89" r:id="rId11"/>
    <sheet name="3.3.3 PERCENTUAL CONTRATO" sheetId="9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Hicon Calc</author>
    <author>Hicon Calc 2</author>
  </authors>
  <commentList>
    <comment ref="F3" authorId="0" shapeId="0" xr:uid="{50AAFE62-71CC-4D6B-AE82-65DA84627318}">
      <text>
        <r>
          <rPr>
            <b/>
            <sz val="9"/>
            <color indexed="81"/>
            <rFont val="Segoe UI"/>
            <family val="2"/>
          </rPr>
          <t>Nome da instituição bancária onde fez o emprestimo- Consta no Hiscon</t>
        </r>
      </text>
    </comment>
    <comment ref="F4" authorId="0" shapeId="0" xr:uid="{5555E1A5-A675-46CF-9C2C-367A1F75C429}">
      <text>
        <r>
          <rPr>
            <b/>
            <sz val="9"/>
            <color indexed="81"/>
            <rFont val="Segoe UI"/>
            <family val="2"/>
          </rPr>
          <t>Nome da instituição bancária onde fez o emprestimo- Consta no Hiscon</t>
        </r>
      </text>
    </comment>
    <comment ref="F5" authorId="0" shapeId="0" xr:uid="{EB06B947-7AFC-4463-9891-3672FD742E36}">
      <text>
        <r>
          <rPr>
            <b/>
            <sz val="9"/>
            <color indexed="81"/>
            <rFont val="Segoe UI"/>
            <family val="2"/>
          </rPr>
          <t>inserir numero do contrato</t>
        </r>
      </text>
    </comment>
    <comment ref="F6" authorId="0" shapeId="0" xr:uid="{A09C6053-A420-446E-9173-3251B2E358C6}">
      <text>
        <r>
          <rPr>
            <b/>
            <sz val="9"/>
            <color indexed="81"/>
            <rFont val="Segoe UI"/>
            <family val="2"/>
          </rPr>
          <t>Data da contata no contrato. No Hiscon data da Inclusão</t>
        </r>
      </text>
    </comment>
    <comment ref="I6" authorId="0" shapeId="0" xr:uid="{5C6E2857-E46F-43EF-9987-C7297A4CFFCA}">
      <text>
        <r>
          <rPr>
            <b/>
            <sz val="9"/>
            <color indexed="81"/>
            <rFont val="Segoe UI"/>
            <family val="2"/>
          </rPr>
          <t>Esta data é retira no site do Bacen quando esta venda a taxa media</t>
        </r>
      </text>
    </comment>
    <comment ref="F7" authorId="0" shapeId="0" xr:uid="{C578A218-A934-4A34-8F71-88DC83A78D38}">
      <text>
        <r>
          <rPr>
            <b/>
            <sz val="9"/>
            <color indexed="81"/>
            <rFont val="Segoe UI"/>
            <family val="2"/>
          </rPr>
          <t>Tipo de contratação junto ao banco, presencial ou online</t>
        </r>
      </text>
    </comment>
    <comment ref="F8" authorId="0" shapeId="0" xr:uid="{83E979F3-5FF5-4D52-A821-5F0B6CCB9CBA}">
      <text>
        <r>
          <rPr>
            <b/>
            <sz val="9"/>
            <color indexed="81"/>
            <rFont val="Segoe UI"/>
            <family val="2"/>
          </rPr>
          <t>Tipo de assinatura, presencial, digital ou self</t>
        </r>
      </text>
    </comment>
    <comment ref="F10" authorId="0" shapeId="0" xr:uid="{023525B3-C2D9-42BD-8EB3-B8A5098E342B}">
      <text>
        <r>
          <rPr>
            <b/>
            <sz val="9"/>
            <color indexed="81"/>
            <rFont val="Segoe UI"/>
            <family val="2"/>
          </rPr>
          <t>Tipo do emprestimo
Consignado,RMC ou RCC.
Emprestimo pessoal ou financiamento de veículo</t>
        </r>
      </text>
    </comment>
    <comment ref="I11" authorId="0" shapeId="0" xr:uid="{5AE4A423-7CBB-4AF3-8BC8-4FA0B2DA7468}">
      <text>
        <r>
          <rPr>
            <b/>
            <sz val="9"/>
            <color indexed="81"/>
            <rFont val="Segoe UI"/>
            <family val="2"/>
          </rPr>
          <t>Inserir a tax adescrita no contrato</t>
        </r>
      </text>
    </comment>
    <comment ref="I19" authorId="1" shapeId="0" xr:uid="{62ADD8C3-1DE5-43B8-A4AD-007543A33D7F}">
      <text>
        <r>
          <rPr>
            <b/>
            <sz val="9"/>
            <color indexed="81"/>
            <rFont val="Segoe UI"/>
            <family val="2"/>
          </rPr>
          <t>Ver a data no contrao ou Hiscon</t>
        </r>
      </text>
    </comment>
    <comment ref="I22" authorId="0" shapeId="0" xr:uid="{30D71EB6-A7A7-417A-B86C-34352350735D}">
      <text>
        <r>
          <rPr>
            <b/>
            <sz val="9"/>
            <color indexed="81"/>
            <rFont val="Segoe UI"/>
            <family val="2"/>
          </rPr>
          <t>Inserir a taxa cobrada ou patricada</t>
        </r>
      </text>
    </comment>
    <comment ref="I24" authorId="0" shapeId="0" xr:uid="{2EA65422-CE17-4424-80B2-BEB9F59ED97F}">
      <text>
        <r>
          <rPr>
            <b/>
            <sz val="9"/>
            <color indexed="81"/>
            <rFont val="Segoe UI"/>
            <family val="2"/>
          </rPr>
          <t>Valor da parcela contratada</t>
        </r>
      </text>
    </comment>
    <comment ref="I25" authorId="0" shapeId="0" xr:uid="{E38EC23F-0676-4F6C-80D2-70592952B3E5}">
      <text>
        <r>
          <rPr>
            <b/>
            <sz val="9"/>
            <color indexed="81"/>
            <rFont val="Segoe UI"/>
            <family val="2"/>
          </rPr>
          <t>Inserir o numero de parcela contratadas</t>
        </r>
      </text>
    </comment>
    <comment ref="I37" authorId="0" shapeId="0" xr:uid="{F7469347-DB8F-43F9-AA43-4572267026D8}">
      <text>
        <r>
          <rPr>
            <b/>
            <sz val="9"/>
            <color indexed="81"/>
            <rFont val="Segoe UI"/>
            <family val="2"/>
          </rPr>
          <t>Data da quitação aplicando a taxa contratual</t>
        </r>
      </text>
    </comment>
    <comment ref="I39" authorId="0" shapeId="0" xr:uid="{10B44151-7492-4D91-83BB-637DA3333348}">
      <text>
        <r>
          <rPr>
            <b/>
            <sz val="9"/>
            <color indexed="81"/>
            <rFont val="Segoe UI"/>
            <family val="2"/>
          </rPr>
          <t>saldo de parcelas a apagar</t>
        </r>
      </text>
    </comment>
    <comment ref="I52" authorId="0" shapeId="0" xr:uid="{647D921B-0899-4A92-BE80-F9DB927D3BF6}">
      <text>
        <r>
          <rPr>
            <b/>
            <sz val="9"/>
            <color indexed="81"/>
            <rFont val="Segoe UI"/>
            <family val="2"/>
          </rPr>
          <t xml:space="preserve">valor das parcelas pagas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Hicon Calc</author>
  </authors>
  <commentList>
    <comment ref="B62" authorId="0" shapeId="0" xr:uid="{BEB375F0-244F-4F77-BAE2-95357D0D352B}">
      <text>
        <r>
          <rPr>
            <b/>
            <sz val="9"/>
            <color indexed="81"/>
            <rFont val="Segoe UI"/>
            <family val="2"/>
          </rPr>
          <t>Escrita em Branco par anao aparecer no grafico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Hicon Calc</author>
  </authors>
  <commentList>
    <comment ref="B62" authorId="0" shapeId="0" xr:uid="{B911F0FE-A58A-4381-8231-480C5C3BCEA1}">
      <text>
        <r>
          <rPr>
            <b/>
            <sz val="9"/>
            <color indexed="81"/>
            <rFont val="Segoe UI"/>
            <family val="2"/>
          </rPr>
          <t>Escrita em Branco par anao aparecer no grafico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Hicon Calc</author>
  </authors>
  <commentList>
    <comment ref="B62" authorId="0" shapeId="0" xr:uid="{0265C6ED-16D6-4276-811D-F1F6B4D843B1}">
      <text>
        <r>
          <rPr>
            <b/>
            <sz val="9"/>
            <color indexed="81"/>
            <rFont val="Segoe UI"/>
            <family val="2"/>
          </rPr>
          <t>Escrita em Branco par anao aparecer no grafico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<sst xmlns="http://schemas.openxmlformats.org/spreadsheetml/2006/main" count="458" uniqueCount="167">
  <si>
    <t>NOME DO BANCO</t>
  </si>
  <si>
    <t>NUMERO DO CONTRATO</t>
  </si>
  <si>
    <t>1ª PARCELA</t>
  </si>
  <si>
    <t>MESES</t>
  </si>
  <si>
    <t xml:space="preserve">PARCELAS:                                   </t>
  </si>
  <si>
    <t>FINANCIAMENTO COM PARCELAS FIXAS</t>
  </si>
  <si>
    <t>Número de meses</t>
  </si>
  <si>
    <t>Taxa de Juros Mensal</t>
  </si>
  <si>
    <t>Valor da Prestação</t>
  </si>
  <si>
    <t>Valor Financiado</t>
  </si>
  <si>
    <t>Taxa de Juros Praticada</t>
  </si>
  <si>
    <t>Taxa Media Melhores Bancos</t>
  </si>
  <si>
    <t>QUITADO NA PARCELA</t>
  </si>
  <si>
    <t>CONTRATO NUMERO:</t>
  </si>
  <si>
    <t>VALOR DA 
PARCELA</t>
  </si>
  <si>
    <t>DIFERENÇA</t>
  </si>
  <si>
    <t>Seguimento:</t>
  </si>
  <si>
    <t>Pessoa Fisica</t>
  </si>
  <si>
    <t>Período:</t>
  </si>
  <si>
    <t>Modalidade:</t>
  </si>
  <si>
    <t>Credito pessoal consignado INSS - Pre-Fixado</t>
  </si>
  <si>
    <t>POSIÇÃO</t>
  </si>
  <si>
    <t>CNPJ</t>
  </si>
  <si>
    <t>INSTITUÇÃO FINANCEIRO</t>
  </si>
  <si>
    <t>% A.M</t>
  </si>
  <si>
    <t>% A.A.</t>
  </si>
  <si>
    <t>Taxa Cobrada pelo Banco</t>
  </si>
  <si>
    <t>TOTAL DE PARCELAS</t>
  </si>
  <si>
    <t>TOTAL PARCELAS
PAGAS</t>
  </si>
  <si>
    <t>CONSIGNADO</t>
  </si>
  <si>
    <t>VAL. PARCELA
CONTRATUAL</t>
  </si>
  <si>
    <t>VALOR PARCELA
TAXA MEDIA</t>
  </si>
  <si>
    <t>TAXA 
CONTRATUAL</t>
  </si>
  <si>
    <t>TAXA MEDIA
MERCADO</t>
  </si>
  <si>
    <t>TAXA JUROS PRATICADAS</t>
  </si>
  <si>
    <t>TOTAL PARCELAS
CONTRATADAS</t>
  </si>
  <si>
    <t>VALOR  PELA 
TAXA MEDIA</t>
  </si>
  <si>
    <t>TOTAL DO INDEBITO</t>
  </si>
  <si>
    <t>Taxa de Juros Mensal IN 28 INSS</t>
  </si>
  <si>
    <t>Taxa de Juro de Juros Contrato</t>
  </si>
  <si>
    <t>DATA DA CONTRATAÇÃO</t>
  </si>
  <si>
    <t>TIPO DA CONTRATAÇÃO</t>
  </si>
  <si>
    <t>a</t>
  </si>
  <si>
    <t>DADOS DA CONTRATAÇÃO BANCARIA</t>
  </si>
  <si>
    <t>FORMA DE ASSINATURA</t>
  </si>
  <si>
    <t>FISICA</t>
  </si>
  <si>
    <t>PRESENCIAL</t>
  </si>
  <si>
    <t xml:space="preserve">TAXA DE JUROS COBRADOS: </t>
  </si>
  <si>
    <t>PARCELA QUITADA</t>
  </si>
  <si>
    <t>COBRANDA INDEVIDAMENTE</t>
  </si>
  <si>
    <t>TOTAL INDEBITO EM DOBRO</t>
  </si>
  <si>
    <t>DATA 
ASSINATURA</t>
  </si>
  <si>
    <t>DATA DA EXCLUSÃO</t>
  </si>
  <si>
    <t xml:space="preserve">                                                                                                      TAXA DE JUROS</t>
  </si>
  <si>
    <t>TIPO DE CONTRATO</t>
  </si>
  <si>
    <t>BANCO INTER</t>
  </si>
  <si>
    <t>BCO DA AMAZONIA S.A.</t>
  </si>
  <si>
    <t>BOC BRASIL FINANCEIRA</t>
  </si>
  <si>
    <t>BCO DO ESTADO DO RS S.A.</t>
  </si>
  <si>
    <t>FINANCEIRA ALFA S.A. - SCFI</t>
  </si>
  <si>
    <t>BRB - BCO DE BRASILIA S.A.</t>
  </si>
  <si>
    <t>BANCO SICOOB S.A.</t>
  </si>
  <si>
    <t>BCO DAYCOVAL S.A</t>
  </si>
  <si>
    <t>BCO ARBI S.A.</t>
  </si>
  <si>
    <t>CAIXA ECONOMICA FEDERAL</t>
  </si>
  <si>
    <t>BCO BRADESCO FINANC. S.A.</t>
  </si>
  <si>
    <t>BCO SAFRA S.A.</t>
  </si>
  <si>
    <t>MEUTUDO SCFI</t>
  </si>
  <si>
    <t>BANCO BARI S.A.</t>
  </si>
  <si>
    <t>BCO CETELEM S.A.</t>
  </si>
  <si>
    <t>BCO OLÉ CONSIGNADO S.A.</t>
  </si>
  <si>
    <t>BCO SANTANDER (BRASIL) S.A.</t>
  </si>
  <si>
    <t>BCO BRADESCO S.A.</t>
  </si>
  <si>
    <t>BCO DO BRASIL S.A.</t>
  </si>
  <si>
    <t>PARANA BCO S.A.</t>
  </si>
  <si>
    <t>ITAÚ UNIBANCO S.A.</t>
  </si>
  <si>
    <t>CREDIARE CFI S.A.</t>
  </si>
  <si>
    <t>MERCANTIL FINANCEIRA</t>
  </si>
  <si>
    <t>BANCO ITAÚ CONSIGNADO S.A.</t>
  </si>
  <si>
    <t>BCO BMG S.A.</t>
  </si>
  <si>
    <t>BANCO PAN</t>
  </si>
  <si>
    <t>BCO AGIBANK S.A.</t>
  </si>
  <si>
    <t>GAZINCRED S.A. SCFI</t>
  </si>
  <si>
    <t>BCO INDUSTRIAL DO BRASIL S.A.</t>
  </si>
  <si>
    <t>BCO DO NORDESTE DO BRASIL S.A.</t>
  </si>
  <si>
    <t>BCO BANESTES S.A.</t>
  </si>
  <si>
    <t>BCO MERCANTIL DO BRASIL S.A.</t>
  </si>
  <si>
    <t>BCO VOTORANTIM S.A.</t>
  </si>
  <si>
    <t>BANCO DIGIO</t>
  </si>
  <si>
    <t>FACTA S.A. CFI</t>
  </si>
  <si>
    <t>BCO DIGIMAIS S.A.</t>
  </si>
  <si>
    <t>VIA CERTA FINANCIADORA S.A. - CFI</t>
  </si>
  <si>
    <t>QUITOU NA PARCELA 58ª</t>
  </si>
  <si>
    <t>Taxa Media de Mercado</t>
  </si>
  <si>
    <t>Porcentagem Acima da Taxa Media</t>
  </si>
  <si>
    <t>Porcentagem Acima da Taxa Média</t>
  </si>
  <si>
    <t>TAXA DO CONTRATO REDUZ O PRAZO</t>
  </si>
  <si>
    <t>TAXA COBRADA DO CLIENTE</t>
  </si>
  <si>
    <t>TAXA DO CONTRATO REDUZ A PARCELA</t>
  </si>
  <si>
    <t>TAXA IN 28 REDUZ O PRAZO</t>
  </si>
  <si>
    <t>TAXA DA IN 28 REDUZ A PARCELA</t>
  </si>
  <si>
    <t>TAXA MEDIA DE MERCADO - REDUZ O PRAZO</t>
  </si>
  <si>
    <t>TAXA MEDIA DE MERCADO - REDUZ O VALOR DA PARCELA</t>
  </si>
  <si>
    <t>V. COBRADO</t>
  </si>
  <si>
    <t/>
  </si>
  <si>
    <t>TX CONTRAT</t>
  </si>
  <si>
    <t>VALOR PAGO INDEVIDAMENTE</t>
  </si>
  <si>
    <t>DADOS  PARA CALCULO COM A IN 28</t>
  </si>
  <si>
    <t>DADOS PARA CALULO COM A TAXA MÉDIA</t>
  </si>
  <si>
    <t>VALOR DA PARCELA MENSAL PELA TAXA MEDIA</t>
  </si>
  <si>
    <t>DIFERENÇA ENTRE A TAXA COBRADA E TAXA MEDIA</t>
  </si>
  <si>
    <t>INDICE ACIMA DA TAXA MEDIA</t>
  </si>
  <si>
    <t>QUITAÇÃO DA DIVIDA PELA TAXA MEDIA NA PARCELA?</t>
  </si>
  <si>
    <t>TOTAL DA DIVIDA PELA TAXA MEDIA</t>
  </si>
  <si>
    <t>HISTORICO DA TAXA DE JUROS - TAXA MÉDIA</t>
  </si>
  <si>
    <t>VALOR DA TAXA MEDIA BANCO CENTRAL</t>
  </si>
  <si>
    <t>VALOR DA TAXA DA IN  28 A SER APLICADA</t>
  </si>
  <si>
    <t>VALOR DA PARCELA MENSAL PELA TAXA DA IN 28</t>
  </si>
  <si>
    <t>DIFERENÇA ENTRE A TAXA COBRADA E TAXA DA IN 28</t>
  </si>
  <si>
    <t>INDICE ACIMA DA TAXA DA IN 28</t>
  </si>
  <si>
    <t>QUITAÇÃO DA DIVIDA PELA TAXA DA IN 28 NA PARCELA?</t>
  </si>
  <si>
    <t>TOTAL DA DIVIDA PELA TAXA MDA IN 28</t>
  </si>
  <si>
    <t>TOTAL DE PARCELA COBRADA INDEVIDAMENTE</t>
  </si>
  <si>
    <t>TAXA DE JUROS COBRADOS - TAXA MEDIA MERCADO</t>
  </si>
  <si>
    <t>VALOR PARCELA
TAXA IN 28</t>
  </si>
  <si>
    <t>QUITOU NA PARCELA 62ª</t>
  </si>
  <si>
    <t>VALOR PARCELA
TAXA CONTRATO</t>
  </si>
  <si>
    <t>Taxa da Instrução Nomativa</t>
  </si>
  <si>
    <t>Taxa Contratual</t>
  </si>
  <si>
    <t>TIPO</t>
  </si>
  <si>
    <t>VALOR CONTRATADO OU REFINANCIADO</t>
  </si>
  <si>
    <t>SEGURO PRESTAISTA</t>
  </si>
  <si>
    <t>IOF</t>
  </si>
  <si>
    <t>TAXA ABERTURA</t>
  </si>
  <si>
    <t>TAXA REGISTRO</t>
  </si>
  <si>
    <t>TOTAL CONTRATADO</t>
  </si>
  <si>
    <t>VALOR DA TAXA DE JUROS PACTUADA</t>
  </si>
  <si>
    <t>TAXA DE JUROS PRATICADAS OU COBRADA</t>
  </si>
  <si>
    <t>VALOR DA PARCELA A SER  DESCONTADA</t>
  </si>
  <si>
    <t>VALOR DA PARCELA PELA TAXA PACTUADA</t>
  </si>
  <si>
    <t>VALOR DA DIFERENÇA ENTRE TAXA CONTRATA E COBRADA</t>
  </si>
  <si>
    <t>VALOR DA DIFERENÇA ENTRE CONTRATA E COBRADA</t>
  </si>
  <si>
    <t>TOTAL DE PARCELA PAGAS ATE A PRESENTE DATA</t>
  </si>
  <si>
    <t>VALOR PAGO ATÉ A PRESENTE DATA</t>
  </si>
  <si>
    <t>SALDO A PAGAR</t>
  </si>
  <si>
    <t>INDICE ACIMA DA TAXA CONTRATUAL</t>
  </si>
  <si>
    <t>BANCO ITAU</t>
  </si>
  <si>
    <t>TROCO</t>
  </si>
  <si>
    <t>DATA DO PAGAMENTO DA PRIMEIRA PARCELA</t>
  </si>
  <si>
    <t>QUITAÇÃO COM APLICAÇÃO DA TAXA CONTRATUAL</t>
  </si>
  <si>
    <r>
      <rPr>
        <b/>
        <sz val="16"/>
        <color rgb="FF0066FF"/>
        <rFont val="Aptos Slab ExtraBold"/>
        <family val="2"/>
      </rPr>
      <t xml:space="preserve">1º </t>
    </r>
    <r>
      <rPr>
        <b/>
        <sz val="10"/>
        <color rgb="FF0066FF"/>
        <rFont val="Aptos Slab ExtraBold"/>
        <family val="2"/>
      </rPr>
      <t xml:space="preserve">
CONTRATO</t>
    </r>
  </si>
  <si>
    <t>INICIO CONTRATO</t>
  </si>
  <si>
    <t>FIM CONTRATO</t>
  </si>
  <si>
    <t>ANO</t>
  </si>
  <si>
    <t xml:space="preserve">MÊS </t>
  </si>
  <si>
    <t>DIA</t>
  </si>
  <si>
    <t>TOTAL MESES</t>
  </si>
  <si>
    <r>
      <rPr>
        <b/>
        <sz val="16"/>
        <color rgb="FF0066FF"/>
        <rFont val="Aptos Slab ExtraBold"/>
        <family val="2"/>
      </rPr>
      <t xml:space="preserve">2º </t>
    </r>
    <r>
      <rPr>
        <b/>
        <sz val="10"/>
        <color rgb="FF0066FF"/>
        <rFont val="Aptos Slab ExtraBold"/>
        <family val="2"/>
      </rPr>
      <t xml:space="preserve">
CONTRATO</t>
    </r>
  </si>
  <si>
    <t>AGREGAR DIAS VER DATA FINAL</t>
  </si>
  <si>
    <t>DATA INICIAL</t>
  </si>
  <si>
    <t>DATA FINAL</t>
  </si>
  <si>
    <t>VAL. PARCELA
COBRADA</t>
  </si>
  <si>
    <t>QUITOU NA PARCELA 67ª</t>
  </si>
  <si>
    <t>NOME DO CLIENTE</t>
  </si>
  <si>
    <t>NOME DO CLIENTE</t>
  </si>
  <si>
    <t>Porcentagem Acima da Taxa Pactuada</t>
  </si>
  <si>
    <t>Porcentagem Acima da Taxa da IN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</si>
</sst>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R$&quot;\ #,##0.00;[Red]\-&quot;R$&quot;\ #,##0.00"/>
    <numFmt numFmtId="41" formatCode="_-* #,##0_-;\-* #,##0_-;_-* &quot;-&quot;_-;_-@_-"/>
    <numFmt numFmtId="43" formatCode="_-* #,##0.00_-;\-* #,##0.00_-;_-* &quot;-&quot;??_-;_-@_-"/>
    <numFmt numFmtId="164" formatCode="0.0000%"/>
    <numFmt numFmtId="165" formatCode="#,##0.00_ ;\-#,##0.00\ "/>
    <numFmt numFmtId="166" formatCode="_-[$R$-416]\ * #,##0.00_-;\-[$R$-416]\ * #,##0.00_-;_-[$R$-416]\ * &quot;-&quot;??_-;_-@_-"/>
    <numFmt numFmtId="167" formatCode="#,##0_ ;\-#,##0\ 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A160D"/>
      <name val="Arial"/>
      <family val="2"/>
    </font>
    <font>
      <sz val="11"/>
      <color theme="1"/>
      <name val="Arial"/>
      <family val="2"/>
    </font>
    <font>
      <sz val="12"/>
      <color theme="1"/>
      <name val="Arial Rounded MT Bold"/>
      <family val="2"/>
    </font>
    <font>
      <sz val="11"/>
      <color theme="1"/>
      <name val="Calibri"/>
      <family val="2"/>
    </font>
    <font>
      <b/>
      <sz val="16"/>
      <color rgb="FF3A160D"/>
      <name val="Arial"/>
      <family val="2"/>
    </font>
    <font>
      <b/>
      <i/>
      <sz val="16"/>
      <color rgb="FF3A160D"/>
      <name val="Arial"/>
      <family val="2"/>
    </font>
    <font>
      <b/>
      <sz val="12"/>
      <color rgb="FF0000FF"/>
      <name val="Arial"/>
      <family val="2"/>
    </font>
    <font>
      <b/>
      <sz val="18"/>
      <color rgb="FFFFE7BA"/>
      <name val="Arial Black"/>
      <family val="2"/>
    </font>
    <font>
      <b/>
      <sz val="18"/>
      <color rgb="FF3A160D"/>
      <name val="Arial"/>
      <family val="2"/>
    </font>
    <font>
      <b/>
      <sz val="20"/>
      <color rgb="FF3A160D"/>
      <name val="Arial"/>
      <family val="2"/>
    </font>
    <font>
      <b/>
      <sz val="20"/>
      <color rgb="FFFFE7BA"/>
      <name val="Arial"/>
      <family val="2"/>
    </font>
    <font>
      <b/>
      <sz val="16"/>
      <color rgb="FF0000FF"/>
      <name val="Arial Black"/>
      <family val="2"/>
    </font>
    <font>
      <b/>
      <sz val="15"/>
      <color rgb="FF0000FF"/>
      <name val="Arial Black"/>
      <family val="2"/>
    </font>
    <font>
      <b/>
      <sz val="15"/>
      <color rgb="FF0000FF"/>
      <name val="Arial"/>
      <family val="2"/>
    </font>
    <font>
      <sz val="11"/>
      <color rgb="FF000000"/>
      <name val="Calibri"/>
      <family val="2"/>
    </font>
    <font>
      <b/>
      <sz val="9"/>
      <color indexed="81"/>
      <name val="Segoe UI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rgb="FF606060"/>
      <name val="Segoe UI"/>
      <family val="2"/>
    </font>
    <font>
      <b/>
      <sz val="10"/>
      <color rgb="FF610F0D"/>
      <name val="Aptos Slab"/>
      <family val="2"/>
    </font>
    <font>
      <b/>
      <sz val="9"/>
      <color rgb="FF610F0D"/>
      <name val="Aptos Slab"/>
      <family val="2"/>
    </font>
    <font>
      <b/>
      <sz val="8"/>
      <color rgb="FF610F0D"/>
      <name val="Aptos Slab"/>
      <family val="2"/>
    </font>
    <font>
      <b/>
      <sz val="12"/>
      <color rgb="FF610F0D"/>
      <name val="Aptos Slab"/>
      <family val="2"/>
    </font>
    <font>
      <sz val="14"/>
      <color theme="1"/>
      <name val="Arial Rounded MT Bold"/>
      <family val="2"/>
    </font>
    <font>
      <sz val="18"/>
      <color rgb="FF0000FF"/>
      <name val="Aptos Slab ExtraBold"/>
      <family val="2"/>
    </font>
    <font>
      <sz val="14"/>
      <name val="Arial Rounded MT Bold"/>
      <family val="2"/>
    </font>
    <font>
      <b/>
      <sz val="20"/>
      <color rgb="FF0000FF"/>
      <name val="Aptos Black"/>
      <family val="2"/>
    </font>
    <font>
      <b/>
      <sz val="18"/>
      <color rgb="FF0000FF"/>
      <name val="Aptos Black"/>
      <family val="2"/>
    </font>
    <font>
      <b/>
      <sz val="10"/>
      <color rgb="FFFFFFFF"/>
      <name val="Arial"/>
      <family val="2"/>
    </font>
    <font>
      <b/>
      <sz val="10"/>
      <color rgb="FF3A160D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6"/>
      <color rgb="FF000000"/>
      <name val="Aptos ExtraBold"/>
      <family val="2"/>
    </font>
    <font>
      <sz val="11"/>
      <color rgb="FF000000"/>
      <name val="Arial Rounded MT Bold"/>
      <family val="2"/>
    </font>
    <font>
      <sz val="11"/>
      <color rgb="FFFFFFFF"/>
      <name val="Arial Rounded MT Bold"/>
      <family val="2"/>
    </font>
    <font>
      <b/>
      <sz val="11"/>
      <color rgb="FF000000"/>
      <name val="Calibri"/>
      <family val="2"/>
    </font>
    <font>
      <b/>
      <sz val="16"/>
      <color rgb="FFFFC000"/>
      <name val="Arial"/>
      <family val="2"/>
    </font>
    <font>
      <b/>
      <sz val="14"/>
      <color rgb="FFFFC000"/>
      <name val="Arial"/>
      <family val="2"/>
    </font>
    <font>
      <b/>
      <sz val="11"/>
      <color theme="1"/>
      <name val="Calibri"/>
      <family val="2"/>
    </font>
    <font>
      <sz val="11"/>
      <name val="Arial Rounded MT Bold"/>
      <family val="2"/>
    </font>
    <font>
      <sz val="18"/>
      <color rgb="FF822322"/>
      <name val="Aptos Slab Black"/>
      <family val="2"/>
    </font>
    <font>
      <sz val="18"/>
      <color rgb="FF33CC33"/>
      <name val="Aptos Slab Black"/>
      <family val="2"/>
    </font>
    <font>
      <sz val="8"/>
      <color theme="1"/>
      <name val="Arial Nova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606060"/>
      <name val="Arial Nova"/>
      <family val="2"/>
    </font>
    <font>
      <b/>
      <sz val="10"/>
      <color rgb="FF606060"/>
      <name val="Arial Nova"/>
      <family val="2"/>
    </font>
    <font>
      <sz val="11"/>
      <color theme="0"/>
      <name val="Calibri"/>
      <family val="2"/>
      <scheme val="minor"/>
    </font>
    <font>
      <b/>
      <sz val="10"/>
      <color rgb="FF0066FF"/>
      <name val="Aptos Slab ExtraBold"/>
      <family val="2"/>
    </font>
    <font>
      <b/>
      <sz val="16"/>
      <color rgb="FF0066FF"/>
      <name val="Aptos Slab ExtraBold"/>
      <family val="2"/>
    </font>
    <font>
      <sz val="11"/>
      <color rgb="FF0000FF"/>
      <name val="Aptos Slab ExtraBold"/>
      <family val="2"/>
    </font>
    <font>
      <sz val="11"/>
      <color theme="1"/>
      <name val="Aptos Slab ExtraBold"/>
      <family val="2"/>
    </font>
    <font>
      <b/>
      <sz val="9"/>
      <color theme="1"/>
      <name val="Aptos Slab ExtraBold"/>
      <family val="2"/>
    </font>
    <font>
      <b/>
      <sz val="11"/>
      <color theme="1"/>
      <name val="Aptos Slab ExtraBold"/>
      <family val="2"/>
    </font>
    <font>
      <sz val="18"/>
      <color theme="8" tint="-0.499984740745262"/>
      <name val="Aptos Slab Black"/>
      <family val="2"/>
    </font>
    <font>
      <sz val="14"/>
      <color theme="8" tint="-0.499984740745262"/>
      <name val="Aptos Slab Black"/>
      <family val="2"/>
    </font>
  </fonts>
  <fills count="33">
    <fill>
      <patternFill patternType="none"/>
    </fill>
    <fill>
      <patternFill patternType="gray125"/>
    </fill>
    <fill>
      <patternFill patternType="solid">
        <fgColor rgb="FFF5F5D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F5DC"/>
        <bgColor rgb="FF000000"/>
      </patternFill>
    </fill>
    <fill>
      <patternFill patternType="solid">
        <fgColor rgb="FFCC3300"/>
        <bgColor rgb="FF000000"/>
      </patternFill>
    </fill>
    <fill>
      <patternFill patternType="solid">
        <fgColor rgb="FF5B0F14"/>
        <bgColor rgb="FF5B0F14"/>
      </patternFill>
    </fill>
    <fill>
      <patternFill patternType="solid">
        <fgColor rgb="FFF5F5DC"/>
        <bgColor rgb="FF5B0F14"/>
      </patternFill>
    </fill>
    <fill>
      <patternFill patternType="solid">
        <fgColor rgb="FFFFE7BA"/>
        <bgColor rgb="FF5B0F14"/>
      </patternFill>
    </fill>
    <fill>
      <patternFill patternType="solid">
        <fgColor rgb="FF33CCCC"/>
        <bgColor rgb="FF5B0F14"/>
      </patternFill>
    </fill>
    <fill>
      <patternFill patternType="solid">
        <fgColor rgb="FFD2B060"/>
        <bgColor rgb="FF5B0F14"/>
      </patternFill>
    </fill>
    <fill>
      <patternFill patternType="solid">
        <fgColor rgb="FF610F0D"/>
        <bgColor rgb="FF5B0F14"/>
      </patternFill>
    </fill>
    <fill>
      <patternFill patternType="solid">
        <fgColor rgb="FFEEE1B1"/>
        <bgColor rgb="FF5B0F14"/>
      </patternFill>
    </fill>
    <fill>
      <patternFill patternType="solid">
        <fgColor rgb="FFB1984E"/>
        <bgColor rgb="FF5B0F14"/>
      </patternFill>
    </fill>
    <fill>
      <patternFill patternType="solid">
        <fgColor rgb="FFFFE7BA"/>
        <bgColor indexed="64"/>
      </patternFill>
    </fill>
    <fill>
      <patternFill patternType="solid">
        <fgColor rgb="FF8223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rgb="FFFFE7BA"/>
        <bgColor rgb="FF000000"/>
      </patternFill>
    </fill>
    <fill>
      <patternFill patternType="solid">
        <fgColor rgb="FF66FF33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CCFF"/>
        <bgColor rgb="FF000000"/>
      </patternFill>
    </fill>
    <fill>
      <patternFill patternType="solid">
        <fgColor theme="0"/>
        <bgColor rgb="FF5B0F14"/>
      </patternFill>
    </fill>
    <fill>
      <patternFill patternType="solid">
        <fgColor rgb="FF99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FF66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3A160D"/>
      </left>
      <right style="thick">
        <color rgb="FF3A160D"/>
      </right>
      <top style="thick">
        <color rgb="FF3A160D"/>
      </top>
      <bottom style="thick">
        <color rgb="FF3A160D"/>
      </bottom>
      <diagonal/>
    </border>
    <border>
      <left style="thick">
        <color rgb="FF610F0D"/>
      </left>
      <right style="thick">
        <color rgb="FF610F0D"/>
      </right>
      <top style="thick">
        <color rgb="FF610F0D"/>
      </top>
      <bottom style="thick">
        <color rgb="FF610F0D"/>
      </bottom>
      <diagonal/>
    </border>
    <border>
      <left style="thick">
        <color rgb="FF3A160D"/>
      </left>
      <right/>
      <top style="thick">
        <color rgb="FF3A160D"/>
      </top>
      <bottom style="thick">
        <color rgb="FF3A160D"/>
      </bottom>
      <diagonal/>
    </border>
    <border>
      <left/>
      <right/>
      <top style="thick">
        <color rgb="FF3A160D"/>
      </top>
      <bottom style="thick">
        <color rgb="FF3A160D"/>
      </bottom>
      <diagonal/>
    </border>
    <border>
      <left/>
      <right style="thick">
        <color rgb="FF3A160D"/>
      </right>
      <top style="thick">
        <color rgb="FF3A160D"/>
      </top>
      <bottom style="thick">
        <color rgb="FF3A160D"/>
      </bottom>
      <diagonal/>
    </border>
    <border>
      <left style="thick">
        <color theme="8" tint="-0.499984740745262"/>
      </left>
      <right style="thick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thick">
        <color theme="8" tint="-0.499984740745262"/>
      </left>
      <right/>
      <top style="thick">
        <color theme="8" tint="-0.499984740745262"/>
      </top>
      <bottom style="thick">
        <color theme="8" tint="-0.499984740745262"/>
      </bottom>
      <diagonal/>
    </border>
    <border>
      <left/>
      <right/>
      <top style="thick">
        <color theme="8" tint="-0.499984740745262"/>
      </top>
      <bottom style="thick">
        <color theme="8" tint="-0.499984740745262"/>
      </bottom>
      <diagonal/>
    </border>
    <border>
      <left/>
      <right style="thick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thick">
        <color theme="8" tint="-0.499984740745262"/>
      </left>
      <right style="thick">
        <color theme="8" tint="-0.499984740745262"/>
      </right>
      <top/>
      <bottom style="thick">
        <color theme="8" tint="-0.499984740745262"/>
      </bottom>
      <diagonal/>
    </border>
    <border>
      <left/>
      <right/>
      <top style="thick">
        <color theme="8" tint="-0.499984740745262"/>
      </top>
      <bottom/>
      <diagonal/>
    </border>
    <border>
      <left style="thick">
        <color theme="8" tint="-0.499984740745262"/>
      </left>
      <right/>
      <top/>
      <bottom/>
      <diagonal/>
    </border>
    <border>
      <left style="double">
        <color rgb="FF864B04"/>
      </left>
      <right style="double">
        <color rgb="FF864B04"/>
      </right>
      <top style="double">
        <color rgb="FF864B04"/>
      </top>
      <bottom style="double">
        <color rgb="FF864B04"/>
      </bottom>
      <diagonal/>
    </border>
    <border>
      <left style="thick">
        <color rgb="FF76230E"/>
      </left>
      <right style="thick">
        <color rgb="FF76230E"/>
      </right>
      <top style="thick">
        <color rgb="FF76230E"/>
      </top>
      <bottom style="thick">
        <color rgb="FF76230E"/>
      </bottom>
      <diagonal/>
    </border>
    <border>
      <left style="double">
        <color rgb="FF864B04"/>
      </left>
      <right/>
      <top style="double">
        <color rgb="FF864B04"/>
      </top>
      <bottom style="double">
        <color rgb="FF864B04"/>
      </bottom>
      <diagonal/>
    </border>
    <border>
      <left/>
      <right style="double">
        <color rgb="FF864B04"/>
      </right>
      <top style="double">
        <color rgb="FF864B04"/>
      </top>
      <bottom style="double">
        <color rgb="FF864B04"/>
      </bottom>
      <diagonal/>
    </border>
    <border>
      <left/>
      <right/>
      <top style="thick">
        <color rgb="FF3A160D"/>
      </top>
      <bottom/>
      <diagonal/>
    </border>
    <border>
      <left/>
      <right style="thin">
        <color rgb="FF811C1A"/>
      </right>
      <top/>
      <bottom style="thin">
        <color rgb="FF811C1A"/>
      </bottom>
      <diagonal/>
    </border>
    <border>
      <left/>
      <right/>
      <top style="thin">
        <color rgb="FF811C1A"/>
      </top>
      <bottom/>
      <diagonal/>
    </border>
    <border>
      <left style="thick">
        <color rgb="FF76230E"/>
      </left>
      <right/>
      <top style="thick">
        <color rgb="FF76230E"/>
      </top>
      <bottom style="thick">
        <color rgb="FF76230E"/>
      </bottom>
      <diagonal/>
    </border>
    <border>
      <left/>
      <right style="thick">
        <color rgb="FF76230E"/>
      </right>
      <top style="thick">
        <color rgb="FF76230E"/>
      </top>
      <bottom style="thick">
        <color rgb="FF76230E"/>
      </bottom>
      <diagonal/>
    </border>
    <border>
      <left style="thick">
        <color rgb="FF76230E"/>
      </left>
      <right/>
      <top style="thick">
        <color rgb="FF3A160D"/>
      </top>
      <bottom style="thick">
        <color rgb="FF76230E"/>
      </bottom>
      <diagonal/>
    </border>
    <border>
      <left/>
      <right style="thick">
        <color rgb="FF76230E"/>
      </right>
      <top style="thick">
        <color rgb="FF3A160D"/>
      </top>
      <bottom style="thick">
        <color rgb="FF76230E"/>
      </bottom>
      <diagonal/>
    </border>
    <border>
      <left/>
      <right style="thick">
        <color theme="8" tint="-0.499984740745262"/>
      </right>
      <top/>
      <bottom/>
      <diagonal/>
    </border>
    <border>
      <left style="thick">
        <color rgb="FF76370A"/>
      </left>
      <right style="thick">
        <color rgb="FF76370A"/>
      </right>
      <top style="thick">
        <color rgb="FF76370A"/>
      </top>
      <bottom style="thick">
        <color rgb="FF76370A"/>
      </bottom>
      <diagonal/>
    </border>
    <border>
      <left/>
      <right style="thick">
        <color rgb="FF76230E"/>
      </right>
      <top/>
      <bottom/>
      <diagonal/>
    </border>
    <border>
      <left/>
      <right style="thick">
        <color rgb="FF76230E"/>
      </right>
      <top style="thick">
        <color rgb="FF76370A"/>
      </top>
      <bottom/>
      <diagonal/>
    </border>
    <border>
      <left style="thick">
        <color rgb="FF76230E"/>
      </left>
      <right/>
      <top/>
      <bottom style="thick">
        <color rgb="FF76230E"/>
      </bottom>
      <diagonal/>
    </border>
    <border>
      <left/>
      <right/>
      <top/>
      <bottom style="thick">
        <color rgb="FF76230E"/>
      </bottom>
      <diagonal/>
    </border>
    <border>
      <left/>
      <right style="thick">
        <color rgb="FF76230E"/>
      </right>
      <top/>
      <bottom style="thick">
        <color rgb="FF76230E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rgb="FF76230E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rgb="FF76230E"/>
      </top>
      <bottom style="thick">
        <color theme="8" tint="-0.499984740745262"/>
      </bottom>
      <diagonal/>
    </border>
    <border>
      <left/>
      <right/>
      <top style="thick">
        <color rgb="FF76230E"/>
      </top>
      <bottom style="thick">
        <color theme="8" tint="-0.499984740745262"/>
      </bottom>
      <diagonal/>
    </border>
    <border>
      <left/>
      <right/>
      <top style="thick">
        <color rgb="FF76230E"/>
      </top>
      <bottom/>
      <diagonal/>
    </border>
    <border>
      <left style="thick">
        <color theme="7" tint="-0.499984740745262"/>
      </left>
      <right/>
      <top style="thick">
        <color theme="8" tint="-0.499984740745262"/>
      </top>
      <bottom style="thick">
        <color theme="8" tint="-0.499984740745262"/>
      </bottom>
      <diagonal/>
    </border>
    <border>
      <left style="dashed">
        <color rgb="FFFFE7BA"/>
      </left>
      <right style="dashed">
        <color rgb="FFFFE7BA"/>
      </right>
      <top style="dashed">
        <color rgb="FFFFE7BA"/>
      </top>
      <bottom style="dashed">
        <color rgb="FFFFE7BA"/>
      </bottom>
      <diagonal/>
    </border>
    <border>
      <left/>
      <right style="thick">
        <color theme="8" tint="-0.499984740745262"/>
      </right>
      <top style="dashed">
        <color rgb="FFFFE7BA"/>
      </top>
      <bottom style="thick">
        <color theme="8" tint="-0.499984740745262"/>
      </bottom>
      <diagonal/>
    </border>
    <border>
      <left style="dashed">
        <color rgb="FFFFE7BA"/>
      </left>
      <right style="dashed">
        <color rgb="FFFFE7BA"/>
      </right>
      <top/>
      <bottom style="dashed">
        <color rgb="FFFFE7BA"/>
      </bottom>
      <diagonal/>
    </border>
    <border>
      <left/>
      <right style="dashed">
        <color rgb="FFFFE7BA"/>
      </right>
      <top style="dashed">
        <color rgb="FFFFE7BA"/>
      </top>
      <bottom style="dashed">
        <color rgb="FFFFE7BA"/>
      </bottom>
      <diagonal/>
    </border>
    <border>
      <left style="dashed">
        <color rgb="FFFFE7BA"/>
      </left>
      <right style="thick">
        <color theme="8" tint="-0.499984740745262"/>
      </right>
      <top style="dashed">
        <color rgb="FFFFE7BA"/>
      </top>
      <bottom style="dashed">
        <color rgb="FFFFE7BA"/>
      </bottom>
      <diagonal/>
    </border>
    <border>
      <left style="dashed">
        <color rgb="FFFFE7BA"/>
      </left>
      <right style="thick">
        <color theme="8" tint="-0.499984740745262"/>
      </right>
      <top/>
      <bottom style="dashed">
        <color rgb="FFFFE7BA"/>
      </bottom>
      <diagonal/>
    </border>
    <border>
      <left style="thick">
        <color theme="8" tint="-0.499984740745262"/>
      </left>
      <right style="dashed">
        <color rgb="FFFFE7BA"/>
      </right>
      <top/>
      <bottom style="dashed">
        <color rgb="FFFFE7BA"/>
      </bottom>
      <diagonal/>
    </border>
    <border>
      <left style="thick">
        <color theme="8" tint="-0.499984740745262"/>
      </left>
      <right style="dashed">
        <color rgb="FFFFE7BA"/>
      </right>
      <top style="thick">
        <color theme="8" tint="-0.499984740745262"/>
      </top>
      <bottom style="dotted">
        <color rgb="FFFFC000"/>
      </bottom>
      <diagonal/>
    </border>
    <border>
      <left style="dashed">
        <color rgb="FFFFE7BA"/>
      </left>
      <right style="dashed">
        <color rgb="FFFFE7BA"/>
      </right>
      <top style="thick">
        <color theme="8" tint="-0.499984740745262"/>
      </top>
      <bottom style="dotted">
        <color rgb="FFFFC000"/>
      </bottom>
      <diagonal/>
    </border>
    <border>
      <left style="dashed">
        <color rgb="FFFFE7BA"/>
      </left>
      <right style="thick">
        <color theme="8" tint="-0.499984740745262"/>
      </right>
      <top style="thick">
        <color theme="8" tint="-0.499984740745262"/>
      </top>
      <bottom style="dotted">
        <color rgb="FFFFC000"/>
      </bottom>
      <diagonal/>
    </border>
    <border>
      <left style="thick">
        <color theme="8" tint="-0.499984740745262"/>
      </left>
      <right/>
      <top style="dashed">
        <color rgb="FFFFE7BA"/>
      </top>
      <bottom style="thick">
        <color theme="8" tint="-0.499984740745262"/>
      </bottom>
      <diagonal/>
    </border>
    <border>
      <left style="dashed">
        <color rgb="FFFFE7BA"/>
      </left>
      <right/>
      <top style="dashed">
        <color rgb="FFFFE7BA"/>
      </top>
      <bottom style="dashed">
        <color rgb="FFFFE7BA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22" fillId="4" borderId="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 wrapText="1"/>
    </xf>
    <xf numFmtId="14" fontId="24" fillId="4" borderId="2" xfId="0" applyNumberFormat="1" applyFont="1" applyFill="1" applyBorder="1" applyAlignment="1">
      <alignment horizontal="center" vertical="center"/>
    </xf>
    <xf numFmtId="10" fontId="24" fillId="4" borderId="2" xfId="0" applyNumberFormat="1" applyFont="1" applyFill="1" applyBorder="1" applyAlignment="1">
      <alignment horizontal="center" vertical="center"/>
    </xf>
    <xf numFmtId="1" fontId="24" fillId="4" borderId="2" xfId="0" applyNumberFormat="1" applyFont="1" applyFill="1" applyBorder="1" applyAlignment="1">
      <alignment horizontal="center" vertical="center"/>
    </xf>
    <xf numFmtId="8" fontId="24" fillId="4" borderId="2" xfId="0" applyNumberFormat="1" applyFont="1" applyFill="1" applyBorder="1" applyAlignment="1">
      <alignment horizontal="center" vertical="center"/>
    </xf>
    <xf numFmtId="0" fontId="16" fillId="0" borderId="0" xfId="0" applyFont="1"/>
    <xf numFmtId="1" fontId="6" fillId="7" borderId="14" xfId="0" applyNumberFormat="1" applyFont="1" applyFill="1" applyBorder="1" applyAlignment="1">
      <alignment horizontal="right" vertical="center"/>
    </xf>
    <xf numFmtId="164" fontId="6" fillId="9" borderId="14" xfId="0" applyNumberFormat="1" applyFont="1" applyFill="1" applyBorder="1" applyAlignment="1">
      <alignment horizontal="right" vertical="center"/>
    </xf>
    <xf numFmtId="2" fontId="6" fillId="13" borderId="14" xfId="0" applyNumberFormat="1" applyFont="1" applyFill="1" applyBorder="1" applyAlignment="1">
      <alignment horizontal="right" vertical="center"/>
    </xf>
    <xf numFmtId="43" fontId="6" fillId="7" borderId="14" xfId="1" applyFont="1" applyFill="1" applyBorder="1" applyAlignment="1">
      <alignment horizontal="right" vertical="center"/>
    </xf>
    <xf numFmtId="1" fontId="7" fillId="7" borderId="14" xfId="0" applyNumberFormat="1" applyFont="1" applyFill="1" applyBorder="1" applyAlignment="1">
      <alignment horizontal="right" vertical="center"/>
    </xf>
    <xf numFmtId="10" fontId="6" fillId="8" borderId="14" xfId="0" applyNumberFormat="1" applyFont="1" applyFill="1" applyBorder="1" applyAlignment="1">
      <alignment horizontal="right" vertical="center"/>
    </xf>
    <xf numFmtId="43" fontId="6" fillId="7" borderId="14" xfId="1" applyFont="1" applyFill="1" applyBorder="1" applyAlignment="1">
      <alignment vertical="center"/>
    </xf>
    <xf numFmtId="2" fontId="7" fillId="9" borderId="14" xfId="0" applyNumberFormat="1" applyFont="1" applyFill="1" applyBorder="1" applyAlignment="1">
      <alignment horizontal="right" vertical="center"/>
    </xf>
    <xf numFmtId="2" fontId="6" fillId="10" borderId="14" xfId="0" applyNumberFormat="1" applyFont="1" applyFill="1" applyBorder="1" applyAlignment="1">
      <alignment horizontal="right" vertical="center"/>
    </xf>
    <xf numFmtId="8" fontId="6" fillId="9" borderId="14" xfId="0" applyNumberFormat="1" applyFont="1" applyFill="1" applyBorder="1" applyAlignment="1">
      <alignment horizontal="right" vertical="center"/>
    </xf>
    <xf numFmtId="14" fontId="27" fillId="2" borderId="7" xfId="1" applyNumberFormat="1" applyFont="1" applyFill="1" applyBorder="1" applyAlignment="1" applyProtection="1">
      <alignment horizontal="center"/>
      <protection locked="0"/>
    </xf>
    <xf numFmtId="0" fontId="20" fillId="17" borderId="7" xfId="0" applyFont="1" applyFill="1" applyBorder="1" applyAlignment="1">
      <alignment horizontal="center" vertical="center" wrapText="1"/>
    </xf>
    <xf numFmtId="0" fontId="0" fillId="2" borderId="7" xfId="0" applyFill="1" applyBorder="1"/>
    <xf numFmtId="1" fontId="25" fillId="2" borderId="7" xfId="1" applyNumberFormat="1" applyFont="1" applyFill="1" applyBorder="1" applyAlignment="1" applyProtection="1">
      <alignment horizontal="center" vertical="center"/>
      <protection locked="0"/>
    </xf>
    <xf numFmtId="2" fontId="25" fillId="2" borderId="8" xfId="1" applyNumberFormat="1" applyFont="1" applyFill="1" applyBorder="1" applyAlignment="1" applyProtection="1">
      <alignment horizontal="center" vertical="center"/>
      <protection locked="0"/>
    </xf>
    <xf numFmtId="2" fontId="31" fillId="4" borderId="6" xfId="0" applyNumberFormat="1" applyFont="1" applyFill="1" applyBorder="1" applyAlignment="1">
      <alignment vertical="center"/>
    </xf>
    <xf numFmtId="0" fontId="21" fillId="22" borderId="18" xfId="0" applyFont="1" applyFill="1" applyBorder="1" applyAlignment="1">
      <alignment vertical="center"/>
    </xf>
    <xf numFmtId="0" fontId="21" fillId="22" borderId="3" xfId="0" applyFont="1" applyFill="1" applyBorder="1" applyAlignment="1">
      <alignment horizontal="center" vertical="center"/>
    </xf>
    <xf numFmtId="0" fontId="21" fillId="22" borderId="3" xfId="0" applyFont="1" applyFill="1" applyBorder="1" applyAlignment="1">
      <alignment horizontal="center" vertical="center" wrapText="1"/>
    </xf>
    <xf numFmtId="0" fontId="32" fillId="22" borderId="2" xfId="0" applyFont="1" applyFill="1" applyBorder="1" applyAlignment="1">
      <alignment horizontal="center" vertical="center"/>
    </xf>
    <xf numFmtId="14" fontId="33" fillId="23" borderId="2" xfId="0" applyNumberFormat="1" applyFont="1" applyFill="1" applyBorder="1" applyAlignment="1">
      <alignment horizontal="center" vertical="center"/>
    </xf>
    <xf numFmtId="166" fontId="33" fillId="23" borderId="2" xfId="0" applyNumberFormat="1" applyFont="1" applyFill="1" applyBorder="1" applyAlignment="1">
      <alignment horizontal="center" vertical="center"/>
    </xf>
    <xf numFmtId="14" fontId="33" fillId="24" borderId="2" xfId="0" applyNumberFormat="1" applyFont="1" applyFill="1" applyBorder="1" applyAlignment="1">
      <alignment horizontal="center" vertical="center"/>
    </xf>
    <xf numFmtId="166" fontId="33" fillId="24" borderId="2" xfId="0" applyNumberFormat="1" applyFont="1" applyFill="1" applyBorder="1" applyAlignment="1">
      <alignment horizontal="center" vertical="center"/>
    </xf>
    <xf numFmtId="166" fontId="2" fillId="25" borderId="15" xfId="0" applyNumberFormat="1" applyFont="1" applyFill="1" applyBorder="1"/>
    <xf numFmtId="166" fontId="2" fillId="20" borderId="19" xfId="0" applyNumberFormat="1" applyFont="1" applyFill="1" applyBorder="1"/>
    <xf numFmtId="166" fontId="16" fillId="0" borderId="0" xfId="0" applyNumberFormat="1" applyFont="1" applyAlignment="1">
      <alignment horizontal="center"/>
    </xf>
    <xf numFmtId="166" fontId="36" fillId="25" borderId="15" xfId="0" applyNumberFormat="1" applyFont="1" applyFill="1" applyBorder="1"/>
    <xf numFmtId="166" fontId="36" fillId="20" borderId="20" xfId="0" applyNumberFormat="1" applyFont="1" applyFill="1" applyBorder="1"/>
    <xf numFmtId="0" fontId="16" fillId="0" borderId="0" xfId="0" applyFont="1" applyAlignment="1">
      <alignment horizontal="center"/>
    </xf>
    <xf numFmtId="14" fontId="27" fillId="2" borderId="9" xfId="1" applyNumberFormat="1" applyFont="1" applyFill="1" applyBorder="1" applyAlignment="1" applyProtection="1">
      <alignment horizontal="left"/>
      <protection locked="0"/>
    </xf>
    <xf numFmtId="165" fontId="4" fillId="3" borderId="0" xfId="1" applyNumberFormat="1" applyFont="1" applyFill="1" applyBorder="1" applyAlignment="1" applyProtection="1">
      <alignment horizontal="center" vertical="center"/>
      <protection locked="0"/>
    </xf>
    <xf numFmtId="0" fontId="37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40" fillId="0" borderId="0" xfId="0" applyFont="1"/>
    <xf numFmtId="0" fontId="5" fillId="0" borderId="29" xfId="0" applyFont="1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/>
    <xf numFmtId="0" fontId="5" fillId="0" borderId="33" xfId="0" applyFont="1" applyBorder="1"/>
    <xf numFmtId="1" fontId="6" fillId="8" borderId="14" xfId="0" applyNumberFormat="1" applyFont="1" applyFill="1" applyBorder="1" applyAlignment="1">
      <alignment horizontal="right" vertical="center"/>
    </xf>
    <xf numFmtId="0" fontId="38" fillId="0" borderId="26" xfId="0" applyFont="1" applyBorder="1"/>
    <xf numFmtId="0" fontId="39" fillId="0" borderId="26" xfId="0" applyFont="1" applyBorder="1"/>
    <xf numFmtId="10" fontId="38" fillId="0" borderId="26" xfId="0" applyNumberFormat="1" applyFont="1" applyBorder="1"/>
    <xf numFmtId="0" fontId="5" fillId="0" borderId="34" xfId="0" applyFont="1" applyBorder="1"/>
    <xf numFmtId="0" fontId="5" fillId="0" borderId="35" xfId="0" applyFont="1" applyBorder="1"/>
    <xf numFmtId="0" fontId="5" fillId="0" borderId="36" xfId="0" applyFont="1" applyBorder="1"/>
    <xf numFmtId="0" fontId="5" fillId="0" borderId="37" xfId="0" applyFont="1" applyBorder="1"/>
    <xf numFmtId="0" fontId="0" fillId="0" borderId="12" xfId="0" applyBorder="1"/>
    <xf numFmtId="0" fontId="5" fillId="0" borderId="13" xfId="0" applyFont="1" applyBorder="1"/>
    <xf numFmtId="0" fontId="43" fillId="0" borderId="0" xfId="0" applyFont="1"/>
    <xf numFmtId="10" fontId="44" fillId="0" borderId="26" xfId="0" applyNumberFormat="1" applyFont="1" applyBorder="1"/>
    <xf numFmtId="0" fontId="14" fillId="26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3" borderId="0" xfId="0" applyFill="1"/>
    <xf numFmtId="0" fontId="15" fillId="26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0" fillId="0" borderId="0" xfId="0" applyNumberFormat="1"/>
    <xf numFmtId="0" fontId="47" fillId="0" borderId="0" xfId="0" applyFont="1" applyAlignment="1">
      <alignment horizontal="center" vertical="center"/>
    </xf>
    <xf numFmtId="2" fontId="48" fillId="0" borderId="0" xfId="0" applyNumberFormat="1" applyFont="1" applyAlignment="1">
      <alignment vertical="center"/>
    </xf>
    <xf numFmtId="0" fontId="48" fillId="0" borderId="0" xfId="0" applyFont="1" applyAlignment="1">
      <alignment horizontal="center" vertical="center"/>
    </xf>
    <xf numFmtId="0" fontId="0" fillId="0" borderId="0" xfId="0" quotePrefix="1"/>
    <xf numFmtId="2" fontId="47" fillId="0" borderId="0" xfId="0" applyNumberFormat="1" applyFont="1" applyAlignment="1">
      <alignment horizontal="right" vertical="center"/>
    </xf>
    <xf numFmtId="2" fontId="47" fillId="0" borderId="0" xfId="0" applyNumberFormat="1" applyFont="1"/>
    <xf numFmtId="165" fontId="4" fillId="3" borderId="7" xfId="1" applyNumberFormat="1" applyFont="1" applyFill="1" applyBorder="1" applyAlignment="1" applyProtection="1">
      <alignment horizontal="center" vertical="center"/>
      <protection locked="0"/>
    </xf>
    <xf numFmtId="167" fontId="4" fillId="3" borderId="7" xfId="1" applyNumberFormat="1" applyFont="1" applyFill="1" applyBorder="1" applyAlignment="1" applyProtection="1">
      <alignment horizontal="center" vertical="center"/>
      <protection locked="0"/>
    </xf>
    <xf numFmtId="167" fontId="4" fillId="27" borderId="7" xfId="1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0" fontId="0" fillId="16" borderId="7" xfId="0" applyFill="1" applyBorder="1" applyAlignment="1">
      <alignment horizontal="center" vertical="center" wrapText="1"/>
    </xf>
    <xf numFmtId="10" fontId="19" fillId="2" borderId="7" xfId="0" applyNumberFormat="1" applyFont="1" applyFill="1" applyBorder="1"/>
    <xf numFmtId="0" fontId="49" fillId="16" borderId="7" xfId="0" applyFont="1" applyFill="1" applyBorder="1" applyAlignment="1">
      <alignment horizontal="center" vertical="center" wrapText="1"/>
    </xf>
    <xf numFmtId="14" fontId="41" fillId="15" borderId="39" xfId="0" applyNumberFormat="1" applyFont="1" applyFill="1" applyBorder="1"/>
    <xf numFmtId="0" fontId="18" fillId="2" borderId="11" xfId="0" applyFont="1" applyFill="1" applyBorder="1" applyAlignment="1">
      <alignment horizontal="center" vertical="center"/>
    </xf>
    <xf numFmtId="0" fontId="0" fillId="0" borderId="25" xfId="0" applyBorder="1"/>
    <xf numFmtId="0" fontId="0" fillId="0" borderId="43" xfId="0" applyBorder="1"/>
    <xf numFmtId="14" fontId="41" fillId="15" borderId="43" xfId="0" applyNumberFormat="1" applyFont="1" applyFill="1" applyBorder="1" applyAlignment="1">
      <alignment horizontal="left"/>
    </xf>
    <xf numFmtId="0" fontId="0" fillId="0" borderId="13" xfId="0" applyBorder="1"/>
    <xf numFmtId="0" fontId="50" fillId="17" borderId="7" xfId="0" applyFont="1" applyFill="1" applyBorder="1" applyAlignment="1">
      <alignment horizontal="center" vertical="center" wrapText="1"/>
    </xf>
    <xf numFmtId="43" fontId="25" fillId="2" borderId="8" xfId="1" applyFont="1" applyFill="1" applyBorder="1" applyAlignment="1" applyProtection="1">
      <alignment horizontal="center" vertical="center"/>
      <protection locked="0"/>
    </xf>
    <xf numFmtId="10" fontId="4" fillId="27" borderId="7" xfId="1" applyNumberFormat="1" applyFont="1" applyFill="1" applyBorder="1" applyAlignment="1" applyProtection="1">
      <alignment horizontal="center" vertical="center"/>
      <protection locked="0"/>
    </xf>
    <xf numFmtId="165" fontId="4" fillId="27" borderId="7" xfId="1" applyNumberFormat="1" applyFont="1" applyFill="1" applyBorder="1" applyAlignment="1" applyProtection="1">
      <alignment horizontal="center" vertical="center"/>
      <protection locked="0"/>
    </xf>
    <xf numFmtId="10" fontId="4" fillId="3" borderId="7" xfId="1" applyNumberFormat="1" applyFont="1" applyFill="1" applyBorder="1" applyAlignment="1" applyProtection="1">
      <alignment horizontal="center" vertical="center"/>
      <protection locked="0"/>
    </xf>
    <xf numFmtId="0" fontId="50" fillId="29" borderId="7" xfId="0" applyFont="1" applyFill="1" applyBorder="1" applyAlignment="1">
      <alignment horizontal="center" vertical="center" wrapText="1"/>
    </xf>
    <xf numFmtId="14" fontId="25" fillId="2" borderId="7" xfId="1" applyNumberFormat="1" applyFont="1" applyFill="1" applyBorder="1" applyAlignment="1" applyProtection="1">
      <alignment horizontal="center" vertical="center"/>
      <protection locked="0"/>
    </xf>
    <xf numFmtId="43" fontId="25" fillId="2" borderId="7" xfId="1" applyFont="1" applyFill="1" applyBorder="1" applyAlignment="1" applyProtection="1">
      <alignment horizontal="right" vertical="center"/>
      <protection locked="0"/>
    </xf>
    <xf numFmtId="43" fontId="25" fillId="28" borderId="7" xfId="1" applyFont="1" applyFill="1" applyBorder="1" applyAlignment="1" applyProtection="1">
      <alignment horizontal="center" vertical="center"/>
      <protection locked="0"/>
    </xf>
    <xf numFmtId="10" fontId="25" fillId="2" borderId="8" xfId="1" applyNumberFormat="1" applyFont="1" applyFill="1" applyBorder="1" applyAlignment="1" applyProtection="1">
      <alignment horizontal="center" vertical="center"/>
      <protection locked="0"/>
    </xf>
    <xf numFmtId="41" fontId="25" fillId="2" borderId="7" xfId="1" applyNumberFormat="1" applyFont="1" applyFill="1" applyBorder="1" applyAlignment="1" applyProtection="1">
      <protection locked="0"/>
    </xf>
    <xf numFmtId="43" fontId="25" fillId="2" borderId="7" xfId="1" applyFont="1" applyFill="1" applyBorder="1" applyAlignment="1" applyProtection="1">
      <protection locked="0"/>
    </xf>
    <xf numFmtId="10" fontId="25" fillId="2" borderId="7" xfId="1" applyNumberFormat="1" applyFont="1" applyFill="1" applyBorder="1" applyAlignment="1" applyProtection="1">
      <protection locked="0"/>
    </xf>
    <xf numFmtId="10" fontId="25" fillId="2" borderId="8" xfId="1" applyNumberFormat="1" applyFont="1" applyFill="1" applyBorder="1" applyAlignment="1" applyProtection="1">
      <protection locked="0"/>
    </xf>
    <xf numFmtId="43" fontId="25" fillId="2" borderId="8" xfId="1" applyFont="1" applyFill="1" applyBorder="1" applyAlignment="1" applyProtection="1">
      <protection locked="0"/>
    </xf>
    <xf numFmtId="14" fontId="25" fillId="30" borderId="8" xfId="1" applyNumberFormat="1" applyFont="1" applyFill="1" applyBorder="1" applyAlignment="1" applyProtection="1">
      <protection locked="0"/>
    </xf>
    <xf numFmtId="0" fontId="3" fillId="0" borderId="0" xfId="0" applyFont="1"/>
    <xf numFmtId="0" fontId="56" fillId="29" borderId="11" xfId="0" applyFont="1" applyFill="1" applyBorder="1" applyAlignment="1">
      <alignment horizontal="center"/>
    </xf>
    <xf numFmtId="0" fontId="56" fillId="0" borderId="0" xfId="0" applyFont="1"/>
    <xf numFmtId="0" fontId="55" fillId="31" borderId="7" xfId="0" applyFont="1" applyFill="1" applyBorder="1" applyAlignment="1">
      <alignment horizontal="center"/>
    </xf>
    <xf numFmtId="0" fontId="57" fillId="0" borderId="7" xfId="0" applyFont="1" applyBorder="1" applyAlignment="1">
      <alignment horizontal="center" vertical="center"/>
    </xf>
    <xf numFmtId="0" fontId="58" fillId="0" borderId="7" xfId="0" applyFont="1" applyBorder="1" applyAlignment="1">
      <alignment horizontal="center"/>
    </xf>
    <xf numFmtId="0" fontId="56" fillId="0" borderId="7" xfId="0" applyFont="1" applyBorder="1" applyAlignment="1">
      <alignment horizontal="center" vertical="center"/>
    </xf>
    <xf numFmtId="49" fontId="52" fillId="0" borderId="0" xfId="0" applyNumberFormat="1" applyFont="1"/>
    <xf numFmtId="14" fontId="33" fillId="32" borderId="2" xfId="0" applyNumberFormat="1" applyFont="1" applyFill="1" applyBorder="1" applyAlignment="1">
      <alignment horizontal="center" vertical="center"/>
    </xf>
    <xf numFmtId="166" fontId="33" fillId="32" borderId="2" xfId="0" applyNumberFormat="1" applyFont="1" applyFill="1" applyBorder="1" applyAlignment="1">
      <alignment horizontal="center" vertical="center"/>
    </xf>
    <xf numFmtId="43" fontId="24" fillId="4" borderId="2" xfId="1" applyFont="1" applyFill="1" applyBorder="1" applyAlignment="1">
      <alignment horizontal="center" vertical="center"/>
    </xf>
    <xf numFmtId="43" fontId="6" fillId="9" borderId="14" xfId="1" applyFont="1" applyFill="1" applyBorder="1" applyAlignment="1">
      <alignment horizontal="right" vertical="center"/>
    </xf>
    <xf numFmtId="43" fontId="24" fillId="4" borderId="2" xfId="0" applyNumberFormat="1" applyFont="1" applyFill="1" applyBorder="1" applyAlignment="1">
      <alignment horizontal="center" vertical="center"/>
    </xf>
    <xf numFmtId="10" fontId="37" fillId="0" borderId="26" xfId="0" applyNumberFormat="1" applyFont="1" applyBorder="1" applyAlignment="1">
      <alignment horizontal="center"/>
    </xf>
    <xf numFmtId="0" fontId="37" fillId="0" borderId="26" xfId="0" applyFont="1" applyBorder="1" applyAlignment="1">
      <alignment horizontal="center"/>
    </xf>
    <xf numFmtId="0" fontId="25" fillId="2" borderId="8" xfId="0" applyFont="1" applyFill="1" applyBorder="1" applyAlignment="1" applyProtection="1">
      <alignment horizontal="left"/>
      <protection locked="0"/>
    </xf>
    <xf numFmtId="0" fontId="25" fillId="2" borderId="9" xfId="0" applyFont="1" applyFill="1" applyBorder="1" applyAlignment="1" applyProtection="1">
      <alignment horizontal="left"/>
      <protection locked="0"/>
    </xf>
    <xf numFmtId="0" fontId="25" fillId="2" borderId="10" xfId="0" applyFont="1" applyFill="1" applyBorder="1" applyAlignment="1" applyProtection="1">
      <alignment horizontal="left"/>
      <protection locked="0"/>
    </xf>
    <xf numFmtId="165" fontId="27" fillId="2" borderId="8" xfId="1" applyNumberFormat="1" applyFont="1" applyFill="1" applyBorder="1" applyAlignment="1" applyProtection="1">
      <alignment horizontal="left"/>
      <protection locked="0"/>
    </xf>
    <xf numFmtId="165" fontId="27" fillId="2" borderId="9" xfId="1" applyNumberFormat="1" applyFont="1" applyFill="1" applyBorder="1" applyAlignment="1" applyProtection="1">
      <alignment horizontal="left"/>
      <protection locked="0"/>
    </xf>
    <xf numFmtId="0" fontId="4" fillId="2" borderId="8" xfId="0" applyFont="1" applyFill="1" applyBorder="1" applyAlignment="1" applyProtection="1">
      <alignment horizontal="left"/>
      <protection locked="0"/>
    </xf>
    <xf numFmtId="0" fontId="4" fillId="2" borderId="9" xfId="0" applyFont="1" applyFill="1" applyBorder="1" applyAlignment="1" applyProtection="1">
      <alignment horizontal="left"/>
      <protection locked="0"/>
    </xf>
    <xf numFmtId="0" fontId="4" fillId="2" borderId="10" xfId="0" applyFont="1" applyFill="1" applyBorder="1" applyAlignment="1" applyProtection="1">
      <alignment horizontal="left"/>
      <protection locked="0"/>
    </xf>
    <xf numFmtId="0" fontId="4" fillId="30" borderId="8" xfId="0" applyFont="1" applyFill="1" applyBorder="1" applyAlignment="1" applyProtection="1">
      <alignment horizontal="left"/>
      <protection locked="0"/>
    </xf>
    <xf numFmtId="0" fontId="4" fillId="30" borderId="9" xfId="0" applyFont="1" applyFill="1" applyBorder="1" applyAlignment="1" applyProtection="1">
      <alignment horizontal="left"/>
      <protection locked="0"/>
    </xf>
    <xf numFmtId="0" fontId="4" fillId="30" borderId="10" xfId="0" applyFont="1" applyFill="1" applyBorder="1" applyAlignment="1" applyProtection="1">
      <alignment horizontal="left"/>
      <protection locked="0"/>
    </xf>
    <xf numFmtId="0" fontId="4" fillId="21" borderId="8" xfId="0" applyFont="1" applyFill="1" applyBorder="1" applyAlignment="1" applyProtection="1">
      <alignment horizontal="left"/>
      <protection locked="0"/>
    </xf>
    <xf numFmtId="0" fontId="4" fillId="21" borderId="9" xfId="0" applyFont="1" applyFill="1" applyBorder="1" applyAlignment="1" applyProtection="1">
      <alignment horizontal="left"/>
      <protection locked="0"/>
    </xf>
    <xf numFmtId="0" fontId="4" fillId="21" borderId="10" xfId="0" applyFont="1" applyFill="1" applyBorder="1" applyAlignment="1" applyProtection="1">
      <alignment horizontal="left"/>
      <protection locked="0"/>
    </xf>
    <xf numFmtId="0" fontId="4" fillId="21" borderId="8" xfId="0" applyFont="1" applyFill="1" applyBorder="1" applyProtection="1">
      <protection locked="0"/>
    </xf>
    <xf numFmtId="0" fontId="4" fillId="21" borderId="9" xfId="0" applyFont="1" applyFill="1" applyBorder="1" applyProtection="1">
      <protection locked="0"/>
    </xf>
    <xf numFmtId="0" fontId="4" fillId="21" borderId="10" xfId="0" applyFont="1" applyFill="1" applyBorder="1" applyProtection="1">
      <protection locked="0"/>
    </xf>
    <xf numFmtId="49" fontId="29" fillId="27" borderId="11" xfId="0" applyNumberFormat="1" applyFont="1" applyFill="1" applyBorder="1" applyAlignment="1" applyProtection="1">
      <alignment horizontal="center"/>
      <protection locked="0"/>
    </xf>
    <xf numFmtId="0" fontId="4" fillId="27" borderId="38" xfId="0" applyFont="1" applyFill="1" applyBorder="1" applyAlignment="1" applyProtection="1">
      <alignment horizontal="left"/>
      <protection locked="0"/>
    </xf>
    <xf numFmtId="0" fontId="4" fillId="27" borderId="9" xfId="0" applyFont="1" applyFill="1" applyBorder="1" applyAlignment="1" applyProtection="1">
      <alignment horizontal="left"/>
      <protection locked="0"/>
    </xf>
    <xf numFmtId="0" fontId="4" fillId="27" borderId="10" xfId="0" applyFont="1" applyFill="1" applyBorder="1" applyAlignment="1" applyProtection="1">
      <alignment horizontal="left"/>
      <protection locked="0"/>
    </xf>
    <xf numFmtId="0" fontId="4" fillId="27" borderId="8" xfId="0" applyFont="1" applyFill="1" applyBorder="1" applyAlignment="1" applyProtection="1">
      <alignment horizontal="left"/>
      <protection locked="0"/>
    </xf>
    <xf numFmtId="49" fontId="29" fillId="21" borderId="11" xfId="0" applyNumberFormat="1" applyFont="1" applyFill="1" applyBorder="1" applyAlignment="1" applyProtection="1">
      <alignment horizontal="center"/>
      <protection locked="0"/>
    </xf>
    <xf numFmtId="0" fontId="4" fillId="27" borderId="8" xfId="0" applyFont="1" applyFill="1" applyBorder="1" applyProtection="1">
      <protection locked="0"/>
    </xf>
    <xf numFmtId="0" fontId="4" fillId="27" borderId="9" xfId="0" applyFont="1" applyFill="1" applyBorder="1" applyProtection="1">
      <protection locked="0"/>
    </xf>
    <xf numFmtId="0" fontId="4" fillId="27" borderId="10" xfId="0" applyFont="1" applyFill="1" applyBorder="1" applyProtection="1">
      <protection locked="0"/>
    </xf>
    <xf numFmtId="0" fontId="4" fillId="2" borderId="8" xfId="0" applyFont="1" applyFill="1" applyBorder="1" applyProtection="1">
      <protection locked="0"/>
    </xf>
    <xf numFmtId="0" fontId="4" fillId="2" borderId="9" xfId="0" applyFont="1" applyFill="1" applyBorder="1" applyProtection="1">
      <protection locked="0"/>
    </xf>
    <xf numFmtId="0" fontId="4" fillId="2" borderId="10" xfId="0" applyFont="1" applyFill="1" applyBorder="1" applyProtection="1">
      <protection locked="0"/>
    </xf>
    <xf numFmtId="0" fontId="4" fillId="28" borderId="8" xfId="0" applyFont="1" applyFill="1" applyBorder="1" applyAlignment="1" applyProtection="1">
      <alignment horizontal="right"/>
      <protection locked="0"/>
    </xf>
    <xf numFmtId="0" fontId="4" fillId="28" borderId="9" xfId="0" applyFont="1" applyFill="1" applyBorder="1" applyAlignment="1" applyProtection="1">
      <alignment horizontal="right"/>
      <protection locked="0"/>
    </xf>
    <xf numFmtId="0" fontId="4" fillId="28" borderId="10" xfId="0" applyFont="1" applyFill="1" applyBorder="1" applyAlignment="1" applyProtection="1">
      <alignment horizontal="right"/>
      <protection locked="0"/>
    </xf>
    <xf numFmtId="1" fontId="27" fillId="2" borderId="8" xfId="1" applyNumberFormat="1" applyFont="1" applyFill="1" applyBorder="1" applyAlignment="1" applyProtection="1">
      <alignment horizontal="left"/>
      <protection locked="0"/>
    </xf>
    <xf numFmtId="1" fontId="27" fillId="2" borderId="9" xfId="1" applyNumberFormat="1" applyFont="1" applyFill="1" applyBorder="1" applyAlignment="1" applyProtection="1">
      <alignment horizontal="left"/>
      <protection locked="0"/>
    </xf>
    <xf numFmtId="0" fontId="25" fillId="2" borderId="7" xfId="0" applyFont="1" applyFill="1" applyBorder="1" applyAlignment="1" applyProtection="1">
      <alignment horizontal="left"/>
      <protection locked="0"/>
    </xf>
    <xf numFmtId="0" fontId="25" fillId="19" borderId="8" xfId="0" applyFont="1" applyFill="1" applyBorder="1" applyAlignment="1" applyProtection="1">
      <alignment horizontal="left"/>
      <protection locked="0"/>
    </xf>
    <xf numFmtId="0" fontId="25" fillId="19" borderId="9" xfId="0" applyFont="1" applyFill="1" applyBorder="1" applyAlignment="1" applyProtection="1">
      <alignment horizontal="left"/>
      <protection locked="0"/>
    </xf>
    <xf numFmtId="0" fontId="25" fillId="19" borderId="10" xfId="0" applyFont="1" applyFill="1" applyBorder="1" applyAlignment="1" applyProtection="1">
      <alignment horizontal="left"/>
      <protection locked="0"/>
    </xf>
    <xf numFmtId="0" fontId="0" fillId="14" borderId="8" xfId="0" applyFill="1" applyBorder="1" applyAlignment="1" applyProtection="1">
      <alignment horizontal="center"/>
      <protection locked="0"/>
    </xf>
    <xf numFmtId="0" fontId="0" fillId="14" borderId="9" xfId="0" applyFill="1" applyBorder="1" applyAlignment="1" applyProtection="1">
      <alignment horizontal="center"/>
      <protection locked="0"/>
    </xf>
    <xf numFmtId="0" fontId="0" fillId="14" borderId="10" xfId="0" applyFill="1" applyBorder="1" applyAlignment="1" applyProtection="1">
      <alignment horizontal="center"/>
      <protection locked="0"/>
    </xf>
    <xf numFmtId="0" fontId="28" fillId="18" borderId="8" xfId="0" applyFont="1" applyFill="1" applyBorder="1" applyAlignment="1" applyProtection="1">
      <alignment horizontal="center"/>
      <protection locked="0"/>
    </xf>
    <xf numFmtId="0" fontId="28" fillId="18" borderId="9" xfId="0" applyFont="1" applyFill="1" applyBorder="1" applyAlignment="1" applyProtection="1">
      <alignment horizontal="center"/>
      <protection locked="0"/>
    </xf>
    <xf numFmtId="14" fontId="27" fillId="2" borderId="8" xfId="1" applyNumberFormat="1" applyFont="1" applyFill="1" applyBorder="1" applyAlignment="1" applyProtection="1">
      <alignment horizontal="center"/>
      <protection locked="0"/>
    </xf>
    <xf numFmtId="14" fontId="27" fillId="2" borderId="9" xfId="1" applyNumberFormat="1" applyFont="1" applyFill="1" applyBorder="1" applyAlignment="1" applyProtection="1">
      <alignment horizontal="center"/>
      <protection locked="0"/>
    </xf>
    <xf numFmtId="165" fontId="26" fillId="2" borderId="8" xfId="1" applyNumberFormat="1" applyFont="1" applyFill="1" applyBorder="1" applyAlignment="1" applyProtection="1">
      <alignment horizontal="left"/>
      <protection locked="0"/>
    </xf>
    <xf numFmtId="165" fontId="26" fillId="2" borderId="9" xfId="1" applyNumberFormat="1" applyFont="1" applyFill="1" applyBorder="1" applyAlignment="1" applyProtection="1">
      <alignment horizontal="left"/>
      <protection locked="0"/>
    </xf>
    <xf numFmtId="14" fontId="55" fillId="0" borderId="7" xfId="0" applyNumberFormat="1" applyFont="1" applyBorder="1" applyAlignment="1">
      <alignment horizontal="center"/>
    </xf>
    <xf numFmtId="0" fontId="53" fillId="0" borderId="7" xfId="0" applyFont="1" applyBorder="1" applyAlignment="1">
      <alignment horizontal="center" vertical="center" wrapText="1"/>
    </xf>
    <xf numFmtId="0" fontId="53" fillId="0" borderId="7" xfId="0" applyFont="1" applyBorder="1" applyAlignment="1">
      <alignment horizontal="center" vertical="center"/>
    </xf>
    <xf numFmtId="0" fontId="56" fillId="0" borderId="7" xfId="0" applyFont="1" applyBorder="1" applyAlignment="1">
      <alignment horizontal="center"/>
    </xf>
    <xf numFmtId="0" fontId="56" fillId="18" borderId="7" xfId="0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/>
    </xf>
    <xf numFmtId="0" fontId="9" fillId="6" borderId="14" xfId="0" applyFont="1" applyFill="1" applyBorder="1" applyAlignment="1">
      <alignment horizontal="center" vertical="center"/>
    </xf>
    <xf numFmtId="0" fontId="11" fillId="12" borderId="14" xfId="0" applyFont="1" applyFill="1" applyBorder="1" applyAlignment="1">
      <alignment horizontal="left" vertical="center"/>
    </xf>
    <xf numFmtId="0" fontId="12" fillId="11" borderId="14" xfId="0" applyFont="1" applyFill="1" applyBorder="1" applyAlignment="1">
      <alignment horizontal="left" vertical="center"/>
    </xf>
    <xf numFmtId="0" fontId="11" fillId="13" borderId="14" xfId="0" applyFont="1" applyFill="1" applyBorder="1" applyAlignment="1">
      <alignment horizontal="left" vertical="center"/>
    </xf>
    <xf numFmtId="0" fontId="10" fillId="12" borderId="14" xfId="0" applyFont="1" applyFill="1" applyBorder="1" applyAlignment="1">
      <alignment horizontal="left" vertical="center"/>
    </xf>
    <xf numFmtId="0" fontId="12" fillId="11" borderId="16" xfId="0" applyFont="1" applyFill="1" applyBorder="1" applyAlignment="1">
      <alignment horizontal="left" vertical="center"/>
    </xf>
    <xf numFmtId="0" fontId="12" fillId="11" borderId="17" xfId="0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/>
    </xf>
    <xf numFmtId="0" fontId="41" fillId="15" borderId="46" xfId="0" applyFont="1" applyFill="1" applyBorder="1" applyAlignment="1">
      <alignment horizontal="center"/>
    </xf>
    <xf numFmtId="0" fontId="41" fillId="15" borderId="47" xfId="0" applyFont="1" applyFill="1" applyBorder="1" applyAlignment="1">
      <alignment horizontal="center"/>
    </xf>
    <xf numFmtId="0" fontId="41" fillId="15" borderId="48" xfId="0" applyFont="1" applyFill="1" applyBorder="1" applyAlignment="1">
      <alignment horizontal="center"/>
    </xf>
    <xf numFmtId="0" fontId="41" fillId="15" borderId="45" xfId="0" applyFont="1" applyFill="1" applyBorder="1" applyAlignment="1">
      <alignment horizontal="right"/>
    </xf>
    <xf numFmtId="0" fontId="41" fillId="15" borderId="41" xfId="0" applyFont="1" applyFill="1" applyBorder="1" applyAlignment="1">
      <alignment horizontal="right"/>
    </xf>
    <xf numFmtId="0" fontId="41" fillId="15" borderId="41" xfId="0" applyFont="1" applyFill="1" applyBorder="1" applyAlignment="1">
      <alignment horizontal="left"/>
    </xf>
    <xf numFmtId="0" fontId="41" fillId="15" borderId="44" xfId="0" applyFont="1" applyFill="1" applyBorder="1" applyAlignment="1">
      <alignment horizontal="left"/>
    </xf>
    <xf numFmtId="0" fontId="41" fillId="15" borderId="42" xfId="0" applyFont="1" applyFill="1" applyBorder="1" applyAlignment="1">
      <alignment horizontal="right"/>
    </xf>
    <xf numFmtId="0" fontId="41" fillId="15" borderId="39" xfId="0" applyFont="1" applyFill="1" applyBorder="1" applyAlignment="1">
      <alignment horizontal="right"/>
    </xf>
    <xf numFmtId="0" fontId="42" fillId="15" borderId="42" xfId="0" applyFont="1" applyFill="1" applyBorder="1" applyAlignment="1">
      <alignment horizontal="right"/>
    </xf>
    <xf numFmtId="0" fontId="42" fillId="15" borderId="39" xfId="0" applyFont="1" applyFill="1" applyBorder="1" applyAlignment="1">
      <alignment horizontal="right"/>
    </xf>
    <xf numFmtId="0" fontId="42" fillId="15" borderId="39" xfId="0" applyFont="1" applyFill="1" applyBorder="1" applyAlignment="1">
      <alignment horizontal="left"/>
    </xf>
    <xf numFmtId="0" fontId="42" fillId="15" borderId="43" xfId="0" applyFont="1" applyFill="1" applyBorder="1" applyAlignment="1">
      <alignment horizontal="left"/>
    </xf>
    <xf numFmtId="0" fontId="18" fillId="2" borderId="49" xfId="0" applyFont="1" applyFill="1" applyBorder="1" applyAlignment="1">
      <alignment horizontal="center" vertical="center"/>
    </xf>
    <xf numFmtId="0" fontId="18" fillId="2" borderId="40" xfId="0" applyFont="1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 wrapText="1"/>
    </xf>
    <xf numFmtId="0" fontId="0" fillId="16" borderId="10" xfId="0" applyFill="1" applyBorder="1" applyAlignment="1">
      <alignment horizontal="center" vertical="center" wrapText="1"/>
    </xf>
    <xf numFmtId="0" fontId="50" fillId="17" borderId="8" xfId="0" applyFont="1" applyFill="1" applyBorder="1" applyAlignment="1">
      <alignment horizontal="left" vertical="center" wrapText="1"/>
    </xf>
    <xf numFmtId="0" fontId="50" fillId="17" borderId="10" xfId="0" applyFont="1" applyFill="1" applyBorder="1" applyAlignment="1">
      <alignment horizontal="left" vertical="center" wrapText="1"/>
    </xf>
    <xf numFmtId="0" fontId="51" fillId="17" borderId="8" xfId="0" applyFont="1" applyFill="1" applyBorder="1" applyAlignment="1">
      <alignment horizontal="left" vertical="center" wrapText="1"/>
    </xf>
    <xf numFmtId="0" fontId="51" fillId="17" borderId="10" xfId="0" applyFont="1" applyFill="1" applyBorder="1" applyAlignment="1">
      <alignment horizontal="left" vertical="center" wrapText="1"/>
    </xf>
    <xf numFmtId="14" fontId="41" fillId="15" borderId="50" xfId="0" applyNumberFormat="1" applyFont="1" applyFill="1" applyBorder="1" applyAlignment="1">
      <alignment horizontal="center"/>
    </xf>
    <xf numFmtId="14" fontId="41" fillId="15" borderId="42" xfId="0" applyNumberFormat="1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4" fillId="23" borderId="4" xfId="0" applyFont="1" applyFill="1" applyBorder="1" applyAlignment="1">
      <alignment horizontal="center"/>
    </xf>
    <xf numFmtId="0" fontId="34" fillId="23" borderId="5" xfId="0" applyFont="1" applyFill="1" applyBorder="1" applyAlignment="1">
      <alignment horizontal="center"/>
    </xf>
    <xf numFmtId="0" fontId="30" fillId="5" borderId="2" xfId="0" applyFont="1" applyFill="1" applyBorder="1" applyAlignment="1">
      <alignment horizontal="center" vertical="center"/>
    </xf>
    <xf numFmtId="0" fontId="31" fillId="4" borderId="4" xfId="0" applyFont="1" applyFill="1" applyBorder="1" applyAlignment="1">
      <alignment horizontal="center"/>
    </xf>
    <xf numFmtId="0" fontId="31" fillId="4" borderId="6" xfId="0" applyFont="1" applyFill="1" applyBorder="1" applyAlignment="1">
      <alignment horizontal="center"/>
    </xf>
    <xf numFmtId="1" fontId="31" fillId="4" borderId="4" xfId="0" applyNumberFormat="1" applyFont="1" applyFill="1" applyBorder="1" applyAlignment="1">
      <alignment horizontal="left" vertical="center"/>
    </xf>
    <xf numFmtId="1" fontId="31" fillId="4" borderId="5" xfId="0" applyNumberFormat="1" applyFont="1" applyFill="1" applyBorder="1" applyAlignment="1">
      <alignment horizontal="left" vertical="center"/>
    </xf>
    <xf numFmtId="0" fontId="34" fillId="24" borderId="4" xfId="0" applyFont="1" applyFill="1" applyBorder="1" applyAlignment="1">
      <alignment horizontal="center"/>
    </xf>
    <xf numFmtId="0" fontId="34" fillId="24" borderId="5" xfId="0" applyFont="1" applyFill="1" applyBorder="1" applyAlignment="1">
      <alignment horizontal="center"/>
    </xf>
    <xf numFmtId="0" fontId="36" fillId="25" borderId="21" xfId="0" applyFont="1" applyFill="1" applyBorder="1" applyAlignment="1">
      <alignment horizontal="center"/>
    </xf>
    <xf numFmtId="0" fontId="36" fillId="25" borderId="22" xfId="0" applyFont="1" applyFill="1" applyBorder="1" applyAlignment="1">
      <alignment horizontal="center"/>
    </xf>
    <xf numFmtId="0" fontId="36" fillId="25" borderId="23" xfId="0" applyFont="1" applyFill="1" applyBorder="1" applyAlignment="1">
      <alignment horizontal="center"/>
    </xf>
    <xf numFmtId="0" fontId="36" fillId="25" borderId="24" xfId="0" applyFont="1" applyFill="1" applyBorder="1" applyAlignment="1">
      <alignment horizontal="center"/>
    </xf>
    <xf numFmtId="14" fontId="35" fillId="23" borderId="4" xfId="0" applyNumberFormat="1" applyFont="1" applyFill="1" applyBorder="1" applyAlignment="1">
      <alignment horizontal="center" vertical="center"/>
    </xf>
    <xf numFmtId="14" fontId="35" fillId="23" borderId="5" xfId="0" applyNumberFormat="1" applyFont="1" applyFill="1" applyBorder="1" applyAlignment="1">
      <alignment horizontal="center" vertical="center"/>
    </xf>
    <xf numFmtId="0" fontId="34" fillId="32" borderId="4" xfId="0" applyFont="1" applyFill="1" applyBorder="1" applyAlignment="1">
      <alignment horizontal="center"/>
    </xf>
    <xf numFmtId="0" fontId="34" fillId="32" borderId="5" xfId="0" applyFont="1" applyFill="1" applyBorder="1" applyAlignment="1">
      <alignment horizontal="center"/>
    </xf>
    <xf numFmtId="14" fontId="35" fillId="32" borderId="4" xfId="0" applyNumberFormat="1" applyFont="1" applyFill="1" applyBorder="1" applyAlignment="1">
      <alignment horizontal="center" vertical="center"/>
    </xf>
    <xf numFmtId="14" fontId="35" fillId="32" borderId="5" xfId="0" applyNumberFormat="1" applyFont="1" applyFill="1" applyBorder="1" applyAlignment="1">
      <alignment horizontal="center" vertic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1" defaultTableStyle="TableStyleMedium2" defaultPivotStyle="PivotStyleLight16">
    <tableStyle name="Invisible" pivot="0" table="0" count="0" xr9:uid="{0129582E-F54C-4123-82B5-15DAD6AC52C8}"/>
  </tableStyles>
  <colors>
    <mruColors>
      <color rgb="FF99FF66"/>
      <color rgb="FF99FF33"/>
      <color rgb="FF99FF99"/>
      <color rgb="FF0099CC"/>
      <color rgb="FFCCFFFF"/>
      <color rgb="FFFFE7BA"/>
      <color rgb="FF66FF99"/>
      <color rgb="FF00FFFF"/>
      <color rgb="FF00CC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latin typeface="Aptos ExtraBold" panose="020B0004020202020204" pitchFamily="34" charset="0"/>
              </a:rPr>
              <a:t>COMPARATIVO</a:t>
            </a:r>
            <a:r>
              <a:rPr lang="pt-BR" baseline="0">
                <a:latin typeface="Aptos ExtraBold" panose="020B0004020202020204" pitchFamily="34" charset="0"/>
              </a:rPr>
              <a:t> DOS JUROS</a:t>
            </a:r>
            <a:endParaRPr lang="pt-BR">
              <a:latin typeface="Aptos ExtraBold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716357762971936"/>
          <c:y val="0.11941937230926068"/>
          <c:w val="0.76282643104726411"/>
          <c:h val="0.69914104391989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[1]Planilha1!$B$3</c:f>
              <c:strCache>
                <c:ptCount val="1"/>
                <c:pt idx="0">
                  <c:v>Taxa Instruçao Normativa IN 28</c:v>
                </c:pt>
              </c:strCache>
            </c:strRef>
          </c:tx>
          <c:spPr>
            <a:solidFill>
              <a:srgbClr val="82232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val>
            <c:numRef>
              <c:f>[1]Planilha1!$C$3:$D$3</c:f>
              <c:numCache>
                <c:formatCode>General</c:formatCode>
                <c:ptCount val="2"/>
                <c:pt idx="0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1-4F7C-8296-B492F826D8BD}"/>
            </c:ext>
          </c:extLst>
        </c:ser>
        <c:ser>
          <c:idx val="1"/>
          <c:order val="1"/>
          <c:tx>
            <c:strRef>
              <c:f>[1]Planilha1!$B$4</c:f>
              <c:strCache>
                <c:ptCount val="1"/>
                <c:pt idx="0">
                  <c:v>Taxa Cobrada pelo Banco</c:v>
                </c:pt>
              </c:strCache>
            </c:strRef>
          </c:tx>
          <c:spPr>
            <a:solidFill>
              <a:srgbClr val="9B7B34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  <a:bevelB prst="relaxedInset"/>
            </a:sp3d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[1]Planilha1!$C$4:$D$4</c:f>
              <c:numCache>
                <c:formatCode>General</c:formatCode>
                <c:ptCount val="2"/>
                <c:pt idx="0">
                  <c:v>2.6700000000000002E-2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91-4F7C-8296-B492F826D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0"/>
        <c:axId val="568083152"/>
        <c:axId val="611488336"/>
      </c:barChart>
      <c:catAx>
        <c:axId val="568083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1488336"/>
        <c:crosses val="autoZero"/>
        <c:auto val="1"/>
        <c:lblAlgn val="ctr"/>
        <c:lblOffset val="100"/>
        <c:noMultiLvlLbl val="0"/>
      </c:catAx>
      <c:valAx>
        <c:axId val="611488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08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56319196651051517"/>
          <c:y val="0.45112320959880015"/>
          <c:w val="0.33132280142197412"/>
          <c:h val="0.2390485189351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accent5">
                    <a:lumMod val="50000"/>
                  </a:schemeClr>
                </a:solidFill>
                <a:latin typeface="Arial Rounded MT Bold" panose="020F0704030504030204" pitchFamily="34" charset="0"/>
              </a:rPr>
              <a:t>Indice</a:t>
            </a:r>
            <a:r>
              <a:rPr lang="pt-BR" baseline="0">
                <a:solidFill>
                  <a:schemeClr val="accent5">
                    <a:lumMod val="50000"/>
                  </a:schemeClr>
                </a:solidFill>
                <a:latin typeface="Arial Rounded MT Bold" panose="020F0704030504030204" pitchFamily="34" charset="0"/>
              </a:rPr>
              <a:t> Acima da Taxa Média</a:t>
            </a:r>
            <a:endParaRPr lang="pt-BR">
              <a:solidFill>
                <a:schemeClr val="accent5">
                  <a:lumMod val="50000"/>
                </a:schemeClr>
              </a:solidFill>
              <a:latin typeface="Arial Rounded MT Bold" panose="020F07040305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22322"/>
              </a:solidFill>
              <a:ln w="127000">
                <a:solidFill>
                  <a:srgbClr val="82232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243-4121-8A77-94DC6E381D32}"/>
              </c:ext>
            </c:extLst>
          </c:dPt>
          <c:dPt>
            <c:idx val="1"/>
            <c:bubble3D val="0"/>
            <c:spPr>
              <a:solidFill>
                <a:srgbClr val="FFE7BA"/>
              </a:solidFill>
              <a:ln>
                <a:noFill/>
              </a:ln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243-4121-8A77-94DC6E381D32}"/>
              </c:ext>
            </c:extLst>
          </c:dPt>
          <c:val>
            <c:numRef>
              <c:f>'1.1.1 PERCENTUAL TAXA MEDIA'!$C$61:$C$62</c:f>
              <c:numCache>
                <c:formatCode>0.00%</c:formatCode>
                <c:ptCount val="2"/>
                <c:pt idx="0">
                  <c:v>0.20121951219512177</c:v>
                </c:pt>
                <c:pt idx="1">
                  <c:v>0.7987804878048782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3-4121-8A77-94DC6E381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5D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latin typeface="Aptos ExtraBold" panose="020B0004020202020204" pitchFamily="34" charset="0"/>
              </a:rPr>
              <a:t>COMPARATIVO</a:t>
            </a:r>
            <a:r>
              <a:rPr lang="pt-BR" baseline="0">
                <a:latin typeface="Aptos ExtraBold" panose="020B0004020202020204" pitchFamily="34" charset="0"/>
              </a:rPr>
              <a:t> DOS JUROS</a:t>
            </a:r>
            <a:endParaRPr lang="pt-BR">
              <a:latin typeface="Aptos ExtraBold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716357762971936"/>
          <c:y val="0.11941937230926068"/>
          <c:w val="0.76282643104726411"/>
          <c:h val="0.69914104391989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[1]Planilha1!$B$3</c:f>
              <c:strCache>
                <c:ptCount val="1"/>
                <c:pt idx="0">
                  <c:v>Taxa Instruçao Normativa IN 28</c:v>
                </c:pt>
              </c:strCache>
            </c:strRef>
          </c:tx>
          <c:spPr>
            <a:solidFill>
              <a:srgbClr val="82232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val>
            <c:numRef>
              <c:f>[1]Planilha1!$C$3:$D$3</c:f>
              <c:numCache>
                <c:formatCode>General</c:formatCode>
                <c:ptCount val="2"/>
                <c:pt idx="0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D-4240-859C-4CD2F1DE9329}"/>
            </c:ext>
          </c:extLst>
        </c:ser>
        <c:ser>
          <c:idx val="1"/>
          <c:order val="1"/>
          <c:tx>
            <c:strRef>
              <c:f>[1]Planilha1!$B$4</c:f>
              <c:strCache>
                <c:ptCount val="1"/>
                <c:pt idx="0">
                  <c:v>Taxa Cobrada pelo Banco</c:v>
                </c:pt>
              </c:strCache>
            </c:strRef>
          </c:tx>
          <c:spPr>
            <a:solidFill>
              <a:srgbClr val="9B7B34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  <a:bevelB prst="relaxedInset"/>
            </a:sp3d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[1]Planilha1!$C$4:$D$4</c:f>
              <c:numCache>
                <c:formatCode>General</c:formatCode>
                <c:ptCount val="2"/>
                <c:pt idx="0">
                  <c:v>2.6700000000000002E-2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9D-4240-859C-4CD2F1DE9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0"/>
        <c:axId val="568083152"/>
        <c:axId val="611488336"/>
      </c:barChart>
      <c:catAx>
        <c:axId val="568083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1488336"/>
        <c:crosses val="autoZero"/>
        <c:auto val="1"/>
        <c:lblAlgn val="ctr"/>
        <c:lblOffset val="100"/>
        <c:noMultiLvlLbl val="0"/>
      </c:catAx>
      <c:valAx>
        <c:axId val="611488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08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56319196651051517"/>
          <c:y val="0.45112320959880015"/>
          <c:w val="0.33132280142197412"/>
          <c:h val="0.2390485189351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accent5">
                    <a:lumMod val="50000"/>
                  </a:schemeClr>
                </a:solidFill>
                <a:latin typeface="Arial Rounded MT Bold" panose="020F0704030504030204" pitchFamily="34" charset="0"/>
              </a:rPr>
              <a:t>Indice</a:t>
            </a:r>
            <a:r>
              <a:rPr lang="pt-BR" baseline="0">
                <a:solidFill>
                  <a:schemeClr val="accent5">
                    <a:lumMod val="50000"/>
                  </a:schemeClr>
                </a:solidFill>
                <a:latin typeface="Arial Rounded MT Bold" panose="020F0704030504030204" pitchFamily="34" charset="0"/>
              </a:rPr>
              <a:t> Acima da Taxa da IN 28</a:t>
            </a:r>
            <a:endParaRPr lang="pt-BR">
              <a:solidFill>
                <a:schemeClr val="accent5">
                  <a:lumMod val="50000"/>
                </a:schemeClr>
              </a:solidFill>
              <a:latin typeface="Arial Rounded MT Bold" panose="020F07040305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22322"/>
              </a:solidFill>
              <a:ln w="127000">
                <a:solidFill>
                  <a:srgbClr val="82232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12-4D94-9D38-A1459267F4A2}"/>
              </c:ext>
            </c:extLst>
          </c:dPt>
          <c:dPt>
            <c:idx val="1"/>
            <c:bubble3D val="0"/>
            <c:spPr>
              <a:solidFill>
                <a:srgbClr val="FFE7BA"/>
              </a:solidFill>
              <a:ln>
                <a:noFill/>
              </a:ln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2D12-4D94-9D38-A1459267F4A2}"/>
              </c:ext>
            </c:extLst>
          </c:dPt>
          <c:val>
            <c:numRef>
              <c:f>'1.1.1 PERCENTUAL TAXA MEDIA'!$C$61:$C$62</c:f>
              <c:numCache>
                <c:formatCode>0.00%</c:formatCode>
                <c:ptCount val="2"/>
                <c:pt idx="0">
                  <c:v>0.20121951219512177</c:v>
                </c:pt>
                <c:pt idx="1">
                  <c:v>0.7987804878048782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12-4D94-9D38-A1459267F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5D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latin typeface="Aptos ExtraBold" panose="020B0004020202020204" pitchFamily="34" charset="0"/>
              </a:rPr>
              <a:t>COMPARATIVO</a:t>
            </a:r>
            <a:r>
              <a:rPr lang="pt-BR" baseline="0">
                <a:latin typeface="Aptos ExtraBold" panose="020B0004020202020204" pitchFamily="34" charset="0"/>
              </a:rPr>
              <a:t> DOS JUROS</a:t>
            </a:r>
            <a:endParaRPr lang="pt-BR">
              <a:latin typeface="Aptos ExtraBold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716357762971936"/>
          <c:y val="0.11941937230926068"/>
          <c:w val="0.76282643104726411"/>
          <c:h val="0.69914104391989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[1]Planilha1!$B$3</c:f>
              <c:strCache>
                <c:ptCount val="1"/>
                <c:pt idx="0">
                  <c:v>Taxa Instruçao Normativa IN 28</c:v>
                </c:pt>
              </c:strCache>
            </c:strRef>
          </c:tx>
          <c:spPr>
            <a:solidFill>
              <a:srgbClr val="82232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c:spPr>
          <c:invertIfNegative val="0"/>
          <c:val>
            <c:numRef>
              <c:f>[1]Planilha1!$C$3:$D$3</c:f>
              <c:numCache>
                <c:formatCode>General</c:formatCode>
                <c:ptCount val="2"/>
                <c:pt idx="0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6-4782-9745-17388E69CC8E}"/>
            </c:ext>
          </c:extLst>
        </c:ser>
        <c:ser>
          <c:idx val="1"/>
          <c:order val="1"/>
          <c:tx>
            <c:strRef>
              <c:f>[1]Planilha1!$B$4</c:f>
              <c:strCache>
                <c:ptCount val="1"/>
                <c:pt idx="0">
                  <c:v>Taxa Cobrada pelo Banco</c:v>
                </c:pt>
              </c:strCache>
            </c:strRef>
          </c:tx>
          <c:spPr>
            <a:solidFill>
              <a:srgbClr val="9B7B34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  <a:bevelB prst="relaxedInset"/>
            </a:sp3d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[1]Planilha1!$C$4:$D$4</c:f>
              <c:numCache>
                <c:formatCode>General</c:formatCode>
                <c:ptCount val="2"/>
                <c:pt idx="0">
                  <c:v>2.6700000000000002E-2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46-4782-9745-17388E69C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0"/>
        <c:axId val="568083152"/>
        <c:axId val="611488336"/>
      </c:barChart>
      <c:catAx>
        <c:axId val="568083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1488336"/>
        <c:crosses val="autoZero"/>
        <c:auto val="1"/>
        <c:lblAlgn val="ctr"/>
        <c:lblOffset val="100"/>
        <c:noMultiLvlLbl val="0"/>
      </c:catAx>
      <c:valAx>
        <c:axId val="611488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08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56319196651051517"/>
          <c:y val="0.45112320959880015"/>
          <c:w val="0.33132280142197412"/>
          <c:h val="0.2390485189351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accent5">
                    <a:lumMod val="50000"/>
                  </a:schemeClr>
                </a:solidFill>
                <a:latin typeface="Arial Rounded MT Bold" panose="020F0704030504030204" pitchFamily="34" charset="0"/>
              </a:rPr>
              <a:t>Indice</a:t>
            </a:r>
            <a:r>
              <a:rPr lang="pt-BR" baseline="0">
                <a:solidFill>
                  <a:schemeClr val="accent5">
                    <a:lumMod val="50000"/>
                  </a:schemeClr>
                </a:solidFill>
                <a:latin typeface="Arial Rounded MT Bold" panose="020F0704030504030204" pitchFamily="34" charset="0"/>
              </a:rPr>
              <a:t> Acima da Taxa Pactuada</a:t>
            </a:r>
            <a:endParaRPr lang="pt-BR">
              <a:solidFill>
                <a:schemeClr val="accent5">
                  <a:lumMod val="50000"/>
                </a:schemeClr>
              </a:solidFill>
              <a:latin typeface="Arial Rounded MT Bold" panose="020F07040305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22322"/>
              </a:solidFill>
              <a:ln w="127000">
                <a:solidFill>
                  <a:srgbClr val="82232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9A-4A06-B449-4BC38F068227}"/>
              </c:ext>
            </c:extLst>
          </c:dPt>
          <c:dPt>
            <c:idx val="1"/>
            <c:bubble3D val="0"/>
            <c:spPr>
              <a:solidFill>
                <a:srgbClr val="FFE7BA"/>
              </a:solidFill>
              <a:ln>
                <a:noFill/>
              </a:ln>
              <a:effectLst>
                <a:innerShdw blurRad="63500" dist="50800" dir="81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399A-4A06-B449-4BC38F068227}"/>
              </c:ext>
            </c:extLst>
          </c:dPt>
          <c:val>
            <c:numRef>
              <c:f>'1.1.1 PERCENTUAL TAXA MEDIA'!$C$61:$C$62</c:f>
              <c:numCache>
                <c:formatCode>0.00%</c:formatCode>
                <c:ptCount val="2"/>
                <c:pt idx="0">
                  <c:v>0.20121951219512177</c:v>
                </c:pt>
                <c:pt idx="1">
                  <c:v>0.7987804878048782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9A-4A06-B449-4BC38F068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5D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312371</xdr:colOff>
      <xdr:row>1</xdr:row>
      <xdr:rowOff>13608</xdr:rowOff>
    </xdr:from>
    <xdr:to>
      <xdr:col>4</xdr:col>
      <xdr:colOff>34290</xdr:colOff>
      <xdr:row>8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FCEEAA7-07AD-8AC1-56D6-9B7A86F239F0}"/>
            </a:ext>
          </a:extLst>
        </xdr:cNvPr>
        <xdr:cNvSpPr/>
      </xdr:nvSpPr>
      <xdr:spPr>
        <a:xfrm>
          <a:off x="312371" y="394608"/>
          <a:ext cx="5734099" cy="2118995"/>
        </a:xfrm>
        <a:prstGeom prst="rect">
          <a:avLst/>
        </a:prstGeom>
        <a:noFill/>
        <a:ln w="76200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314777</xdr:colOff>
      <xdr:row>9</xdr:row>
      <xdr:rowOff>4537</xdr:rowOff>
    </xdr:from>
    <xdr:to>
      <xdr:col>4</xdr:col>
      <xdr:colOff>26670</xdr:colOff>
      <xdr:row>15</xdr:row>
      <xdr:rowOff>20412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9A65E7F-6FB6-4589-A205-3D3A36C78DD9}"/>
            </a:ext>
          </a:extLst>
        </xdr:cNvPr>
        <xdr:cNvSpPr/>
      </xdr:nvSpPr>
      <xdr:spPr>
        <a:xfrm>
          <a:off x="314777" y="3475447"/>
          <a:ext cx="5724073" cy="2118995"/>
        </a:xfrm>
        <a:prstGeom prst="rect">
          <a:avLst/>
        </a:prstGeom>
        <a:noFill/>
        <a:ln w="76200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314774</xdr:colOff>
      <xdr:row>16</xdr:row>
      <xdr:rowOff>22669</xdr:rowOff>
    </xdr:from>
    <xdr:to>
      <xdr:col>4</xdr:col>
      <xdr:colOff>34290</xdr:colOff>
      <xdr:row>22</xdr:row>
      <xdr:rowOff>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343CE912-98FD-4151-89A7-AD50279D94E2}"/>
            </a:ext>
          </a:extLst>
        </xdr:cNvPr>
        <xdr:cNvSpPr/>
      </xdr:nvSpPr>
      <xdr:spPr>
        <a:xfrm>
          <a:off x="314774" y="5901499"/>
          <a:ext cx="5731696" cy="2118996"/>
        </a:xfrm>
        <a:prstGeom prst="rect">
          <a:avLst/>
        </a:prstGeom>
        <a:noFill/>
        <a:ln w="76200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314777</xdr:colOff>
      <xdr:row>23</xdr:row>
      <xdr:rowOff>4527</xdr:rowOff>
    </xdr:from>
    <xdr:to>
      <xdr:col>4</xdr:col>
      <xdr:colOff>30480</xdr:colOff>
      <xdr:row>29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31EC516D-7854-4866-8FB7-70A8F9C3BF9F}"/>
            </a:ext>
          </a:extLst>
        </xdr:cNvPr>
        <xdr:cNvSpPr/>
      </xdr:nvSpPr>
      <xdr:spPr>
        <a:xfrm>
          <a:off x="314777" y="8588457"/>
          <a:ext cx="5727883" cy="2098593"/>
        </a:xfrm>
        <a:prstGeom prst="rect">
          <a:avLst/>
        </a:prstGeom>
        <a:noFill/>
        <a:ln w="76200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314141</xdr:colOff>
      <xdr:row>29</xdr:row>
      <xdr:rowOff>161471</xdr:rowOff>
    </xdr:from>
    <xdr:to>
      <xdr:col>4</xdr:col>
      <xdr:colOff>38100</xdr:colOff>
      <xdr:row>35</xdr:row>
      <xdr:rowOff>299811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3CA001B3-CCFD-4F94-8743-261C9AAB595A}"/>
            </a:ext>
          </a:extLst>
        </xdr:cNvPr>
        <xdr:cNvSpPr/>
      </xdr:nvSpPr>
      <xdr:spPr>
        <a:xfrm>
          <a:off x="314141" y="11431451"/>
          <a:ext cx="5736139" cy="2115730"/>
        </a:xfrm>
        <a:prstGeom prst="rect">
          <a:avLst/>
        </a:prstGeom>
        <a:noFill/>
        <a:ln w="76200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314779</xdr:colOff>
      <xdr:row>37</xdr:row>
      <xdr:rowOff>158750</xdr:rowOff>
    </xdr:from>
    <xdr:to>
      <xdr:col>4</xdr:col>
      <xdr:colOff>34290</xdr:colOff>
      <xdr:row>43</xdr:row>
      <xdr:rowOff>297090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D73C31F-7F1F-43E5-9CA3-14128847312A}"/>
            </a:ext>
          </a:extLst>
        </xdr:cNvPr>
        <xdr:cNvSpPr/>
      </xdr:nvSpPr>
      <xdr:spPr>
        <a:xfrm>
          <a:off x="314779" y="14305280"/>
          <a:ext cx="5731691" cy="2115730"/>
        </a:xfrm>
        <a:prstGeom prst="rect">
          <a:avLst/>
        </a:prstGeom>
        <a:noFill/>
        <a:ln w="76200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317500</xdr:colOff>
      <xdr:row>45</xdr:row>
      <xdr:rowOff>0</xdr:rowOff>
    </xdr:from>
    <xdr:to>
      <xdr:col>4</xdr:col>
      <xdr:colOff>34290</xdr:colOff>
      <xdr:row>51</xdr:row>
      <xdr:rowOff>36742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5FA9C09D-8B98-4A75-9EDD-AED8A68CD300}"/>
            </a:ext>
          </a:extLst>
        </xdr:cNvPr>
        <xdr:cNvSpPr/>
      </xdr:nvSpPr>
      <xdr:spPr>
        <a:xfrm>
          <a:off x="317500" y="17350561"/>
          <a:ext cx="5728970" cy="2120991"/>
        </a:xfrm>
        <a:prstGeom prst="rect">
          <a:avLst/>
        </a:prstGeom>
        <a:noFill/>
        <a:ln w="76200"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5</xdr:row>
      <xdr:rowOff>47625</xdr:rowOff>
    </xdr:from>
    <xdr:to>
      <xdr:col>3</xdr:col>
      <xdr:colOff>523875</xdr:colOff>
      <xdr:row>22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FEC014A-ADB2-4159-8A69-3B906B8B3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971550</xdr:colOff>
      <xdr:row>15</xdr:row>
      <xdr:rowOff>9525</xdr:rowOff>
    </xdr:from>
    <xdr:to>
      <xdr:col>1</xdr:col>
      <xdr:colOff>1447800</xdr:colOff>
      <xdr:row>19</xdr:row>
      <xdr:rowOff>47626</xdr:rowOff>
    </xdr:to>
    <xdr:sp macro="" textlink="$C$3">
      <xdr:nvSpPr>
        <xdr:cNvPr id="8" name="CaixaDeTexto 7">
          <a:extLst>
            <a:ext uri="{FF2B5EF4-FFF2-40B4-BE49-F238E27FC236}">
              <a16:creationId xmlns:a16="http://schemas.microsoft.com/office/drawing/2014/main" id="{B3F23E48-F6A0-4502-98FB-3F6C13F92694}"/>
            </a:ext>
          </a:extLst>
        </xdr:cNvPr>
        <xdr:cNvSpPr txBox="1"/>
      </xdr:nvSpPr>
      <xdr:spPr>
        <a:xfrm rot="16200000">
          <a:off x="933449" y="3429001"/>
          <a:ext cx="800101" cy="476250"/>
        </a:xfrm>
        <a:prstGeom prst="rect">
          <a:avLst/>
        </a:prstGeom>
        <a:solidFill>
          <a:srgbClr val="811C1A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6F4E2D2D-CBE6-4208-998B-383DE1DE8FC3}" type="TxLink"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Aptos ExtraBold"/>
              <a:ea typeface="+mn-ea"/>
              <a:cs typeface="Calibri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1,64%</a:t>
          </a:fld>
          <a:endParaRPr kumimoji="0" lang="pt-BR" sz="1600" b="0" i="0" u="none" strike="noStrike" kern="0" cap="none" spc="0" normalizeH="0" baseline="0" noProof="0">
            <a:ln>
              <a:noFill/>
            </a:ln>
            <a:solidFill>
              <a:srgbClr val="FFC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2433638</xdr:colOff>
      <xdr:row>12</xdr:row>
      <xdr:rowOff>143555</xdr:rowOff>
    </xdr:from>
    <xdr:to>
      <xdr:col>1</xdr:col>
      <xdr:colOff>2776537</xdr:colOff>
      <xdr:row>16</xdr:row>
      <xdr:rowOff>172130</xdr:rowOff>
    </xdr:to>
    <xdr:sp macro="" textlink="$C$4">
      <xdr:nvSpPr>
        <xdr:cNvPr id="9" name="CaixaDeTexto 8">
          <a:extLst>
            <a:ext uri="{FF2B5EF4-FFF2-40B4-BE49-F238E27FC236}">
              <a16:creationId xmlns:a16="http://schemas.microsoft.com/office/drawing/2014/main" id="{015426D9-6E4F-4EC7-A6EF-F894221056E0}"/>
            </a:ext>
          </a:extLst>
        </xdr:cNvPr>
        <xdr:cNvSpPr txBox="1"/>
      </xdr:nvSpPr>
      <xdr:spPr>
        <a:xfrm rot="16200000">
          <a:off x="2332264" y="3048000"/>
          <a:ext cx="790575" cy="34289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3F3FD63-89A2-4FFD-AC1D-54177E0BB0F0}" type="TxLink"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Aptos ExtraBold"/>
              <a:ea typeface="+mn-ea"/>
              <a:cs typeface="Calibri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1,97%</a:t>
          </a:fld>
          <a:endParaRPr kumimoji="0" lang="pt-BR" sz="1100" b="0" i="0" u="none" strike="noStrike" kern="0" cap="none" spc="0" normalizeH="0" baseline="0" noProof="0">
            <a:ln>
              <a:noFill/>
            </a:ln>
            <a:solidFill>
              <a:srgbClr val="FFC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34028</xdr:colOff>
      <xdr:row>24</xdr:row>
      <xdr:rowOff>33334</xdr:rowOff>
    </xdr:from>
    <xdr:to>
      <xdr:col>3</xdr:col>
      <xdr:colOff>574912</xdr:colOff>
      <xdr:row>39</xdr:row>
      <xdr:rowOff>163282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BE2738-984A-80DC-DDDA-2F6210A62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27214</xdr:colOff>
      <xdr:row>24</xdr:row>
      <xdr:rowOff>13607</xdr:rowOff>
    </xdr:from>
    <xdr:to>
      <xdr:col>3</xdr:col>
      <xdr:colOff>605517</xdr:colOff>
      <xdr:row>39</xdr:row>
      <xdr:rowOff>176892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E45924A-C33C-7B1B-0BB4-4764DF11B24E}"/>
            </a:ext>
          </a:extLst>
        </xdr:cNvPr>
        <xdr:cNvSpPr/>
      </xdr:nvSpPr>
      <xdr:spPr>
        <a:xfrm>
          <a:off x="149678" y="5007428"/>
          <a:ext cx="6130018" cy="3027589"/>
        </a:xfrm>
        <a:prstGeom prst="rect">
          <a:avLst/>
        </a:prstGeom>
        <a:noFill/>
        <a:ln w="38100">
          <a:solidFill>
            <a:srgbClr val="82232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</xdr:row>
      <xdr:rowOff>27211</xdr:rowOff>
    </xdr:from>
    <xdr:to>
      <xdr:col>4</xdr:col>
      <xdr:colOff>6804</xdr:colOff>
      <xdr:row>22</xdr:row>
      <xdr:rowOff>183697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44B065F-CF7B-4BEE-B4F1-1B7107C04318}"/>
            </a:ext>
          </a:extLst>
        </xdr:cNvPr>
        <xdr:cNvSpPr/>
      </xdr:nvSpPr>
      <xdr:spPr>
        <a:xfrm>
          <a:off x="122464" y="224515"/>
          <a:ext cx="6170840" cy="4544789"/>
        </a:xfrm>
        <a:prstGeom prst="rect">
          <a:avLst/>
        </a:prstGeom>
        <a:noFill/>
        <a:ln w="38100">
          <a:solidFill>
            <a:srgbClr val="82232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0.40704</cdr:x>
      <cdr:y>0.39559</cdr:y>
    </cdr:from>
    <cdr:to>
      <cdr:x>0.59352</cdr:x>
      <cdr:y>0.74779</cdr:y>
    </cdr:to>
    <cdr:sp macro="" textlink="'1.1.1 PERCENTUAL TAXA MEDIA'!$C$61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F3741130-E4E8-5B2E-A426-F2F2438DDB6A}"/>
            </a:ext>
          </a:extLst>
        </cdr:cNvPr>
        <cdr:cNvSpPr/>
      </cdr:nvSpPr>
      <cdr:spPr>
        <a:xfrm xmlns:a="http://schemas.openxmlformats.org/drawingml/2006/main">
          <a:off x="2479902" y="1184503"/>
          <a:ext cx="1136197" cy="105455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lIns="0" tIns="0" rIns="0" bIns="0" anchor="ctr" anchorCtr="0"/>
        <a:lstStyle xmlns:a="http://schemas.openxmlformats.org/drawingml/2006/main"/>
        <a:p xmlns:a="http://schemas.openxmlformats.org/drawingml/2006/main">
          <a:fld id="{32F3AF62-E9FB-4A60-9E2C-D3D997DBE98C}" type="TxLink">
            <a:rPr lang="en-US" sz="1600" b="0" i="0" u="none" strike="noStrike" kern="1200">
              <a:solidFill>
                <a:schemeClr val="accent5">
                  <a:lumMod val="50000"/>
                </a:schemeClr>
              </a:solidFill>
              <a:latin typeface="Arial Rounded MT Bold" panose="020F0704030504030204" pitchFamily="34" charset="0"/>
            </a:rPr>
            <a:pPr/>
            <a:t>20,12%</a:t>
          </a:fld>
          <a:endParaRPr lang="pt-BR" sz="1600" kern="1200">
            <a:solidFill>
              <a:schemeClr val="accent5">
                <a:lumMod val="50000"/>
              </a:schemeClr>
            </a:solidFill>
            <a:latin typeface="Arial Rounded MT Bold" panose="020F0704030504030204" pitchFamily="34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5</xdr:row>
      <xdr:rowOff>47625</xdr:rowOff>
    </xdr:from>
    <xdr:to>
      <xdr:col>3</xdr:col>
      <xdr:colOff>523875</xdr:colOff>
      <xdr:row>22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EC9F492-1612-4829-8EDB-35B469DE2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971550</xdr:colOff>
      <xdr:row>15</xdr:row>
      <xdr:rowOff>9525</xdr:rowOff>
    </xdr:from>
    <xdr:to>
      <xdr:col>1</xdr:col>
      <xdr:colOff>1447800</xdr:colOff>
      <xdr:row>19</xdr:row>
      <xdr:rowOff>47626</xdr:rowOff>
    </xdr:to>
    <xdr:sp macro="" textlink="$C$3">
      <xdr:nvSpPr>
        <xdr:cNvPr id="9" name="CaixaDeTexto 8">
          <a:extLst>
            <a:ext uri="{FF2B5EF4-FFF2-40B4-BE49-F238E27FC236}">
              <a16:creationId xmlns:a16="http://schemas.microsoft.com/office/drawing/2014/main" id="{3E1018E0-22AB-4767-AD0D-AFF190F8A279}"/>
            </a:ext>
          </a:extLst>
        </xdr:cNvPr>
        <xdr:cNvSpPr txBox="1"/>
      </xdr:nvSpPr>
      <xdr:spPr>
        <a:xfrm rot="16200000">
          <a:off x="933449" y="3429001"/>
          <a:ext cx="800101" cy="476250"/>
        </a:xfrm>
        <a:prstGeom prst="rect">
          <a:avLst/>
        </a:prstGeom>
        <a:solidFill>
          <a:srgbClr val="811C1A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6F4E2D2D-CBE6-4208-998B-383DE1DE8FC3}" type="TxLink"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Aptos ExtraBold"/>
              <a:ea typeface="+mn-ea"/>
              <a:cs typeface="Calibri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1,97%</a:t>
          </a:fld>
          <a:endParaRPr kumimoji="0" lang="pt-BR" sz="1600" b="0" i="0" u="none" strike="noStrike" kern="0" cap="none" spc="0" normalizeH="0" baseline="0" noProof="0">
            <a:ln>
              <a:noFill/>
            </a:ln>
            <a:solidFill>
              <a:srgbClr val="FFC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2433638</xdr:colOff>
      <xdr:row>15</xdr:row>
      <xdr:rowOff>14288</xdr:rowOff>
    </xdr:from>
    <xdr:to>
      <xdr:col>1</xdr:col>
      <xdr:colOff>2776537</xdr:colOff>
      <xdr:row>19</xdr:row>
      <xdr:rowOff>42863</xdr:rowOff>
    </xdr:to>
    <xdr:sp macro="" textlink="$C$4">
      <xdr:nvSpPr>
        <xdr:cNvPr id="10" name="CaixaDeTexto 9">
          <a:extLst>
            <a:ext uri="{FF2B5EF4-FFF2-40B4-BE49-F238E27FC236}">
              <a16:creationId xmlns:a16="http://schemas.microsoft.com/office/drawing/2014/main" id="{34A097CD-153B-42D6-B579-DA3271351D76}"/>
            </a:ext>
          </a:extLst>
        </xdr:cNvPr>
        <xdr:cNvSpPr txBox="1"/>
      </xdr:nvSpPr>
      <xdr:spPr>
        <a:xfrm rot="16200000">
          <a:off x="2333625" y="3495676"/>
          <a:ext cx="790575" cy="34289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3F3FD63-89A2-4FFD-AC1D-54177E0BB0F0}" type="TxLink"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Aptos ExtraBold"/>
              <a:ea typeface="+mn-ea"/>
              <a:cs typeface="Calibri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2,09%</a:t>
          </a:fld>
          <a:endParaRPr kumimoji="0" lang="pt-BR" sz="1100" b="0" i="0" u="none" strike="noStrike" kern="0" cap="none" spc="0" normalizeH="0" baseline="0" noProof="0">
            <a:ln>
              <a:noFill/>
            </a:ln>
            <a:solidFill>
              <a:srgbClr val="FFC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34028</xdr:colOff>
      <xdr:row>24</xdr:row>
      <xdr:rowOff>33334</xdr:rowOff>
    </xdr:from>
    <xdr:to>
      <xdr:col>3</xdr:col>
      <xdr:colOff>574912</xdr:colOff>
      <xdr:row>39</xdr:row>
      <xdr:rowOff>163282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71BF83B-C856-40F5-B2AA-8A2E80E38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27214</xdr:colOff>
      <xdr:row>24</xdr:row>
      <xdr:rowOff>13607</xdr:rowOff>
    </xdr:from>
    <xdr:to>
      <xdr:col>3</xdr:col>
      <xdr:colOff>605517</xdr:colOff>
      <xdr:row>39</xdr:row>
      <xdr:rowOff>176892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82F79D62-81AC-4A70-A4AC-35E632577C92}"/>
            </a:ext>
          </a:extLst>
        </xdr:cNvPr>
        <xdr:cNvSpPr/>
      </xdr:nvSpPr>
      <xdr:spPr>
        <a:xfrm>
          <a:off x="151039" y="5014232"/>
          <a:ext cx="6131378" cy="3030310"/>
        </a:xfrm>
        <a:prstGeom prst="rect">
          <a:avLst/>
        </a:prstGeom>
        <a:noFill/>
        <a:ln w="38100">
          <a:solidFill>
            <a:srgbClr val="82232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</xdr:row>
      <xdr:rowOff>27211</xdr:rowOff>
    </xdr:from>
    <xdr:to>
      <xdr:col>4</xdr:col>
      <xdr:colOff>6804</xdr:colOff>
      <xdr:row>22</xdr:row>
      <xdr:rowOff>183697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B02918A3-C480-4599-89BE-662B7FE5C115}"/>
            </a:ext>
          </a:extLst>
        </xdr:cNvPr>
        <xdr:cNvSpPr/>
      </xdr:nvSpPr>
      <xdr:spPr>
        <a:xfrm>
          <a:off x="123825" y="227236"/>
          <a:ext cx="6169479" cy="4547511"/>
        </a:xfrm>
        <a:prstGeom prst="rect">
          <a:avLst/>
        </a:prstGeom>
        <a:noFill/>
        <a:ln w="38100">
          <a:solidFill>
            <a:srgbClr val="82232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0.40704</cdr:x>
      <cdr:y>0.39559</cdr:y>
    </cdr:from>
    <cdr:to>
      <cdr:x>0.59352</cdr:x>
      <cdr:y>0.74779</cdr:y>
    </cdr:to>
    <cdr:sp macro="" textlink="'2.2.2 PERCENTUAL IN 28'!$C$61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F3741130-E4E8-5B2E-A426-F2F2438DDB6A}"/>
            </a:ext>
          </a:extLst>
        </cdr:cNvPr>
        <cdr:cNvSpPr/>
      </cdr:nvSpPr>
      <cdr:spPr>
        <a:xfrm xmlns:a="http://schemas.openxmlformats.org/drawingml/2006/main">
          <a:off x="2479902" y="1184503"/>
          <a:ext cx="1136197" cy="105455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lIns="0" tIns="0" rIns="0" bIns="0" anchor="ctr" anchorCtr="0"/>
        <a:lstStyle xmlns:a="http://schemas.openxmlformats.org/drawingml/2006/main"/>
        <a:p xmlns:a="http://schemas.openxmlformats.org/drawingml/2006/main">
          <a:fld id="{19ED626B-4324-4434-A45A-5A474554BE2D}" type="TxLink">
            <a:rPr lang="en-US" sz="1800" b="0" i="0" u="none" strike="noStrike" kern="1200">
              <a:solidFill>
                <a:schemeClr val="accent5">
                  <a:lumMod val="50000"/>
                </a:schemeClr>
              </a:solidFill>
              <a:latin typeface="Aptos ExtraBold" panose="020B0004020202020204" pitchFamily="34" charset="0"/>
            </a:rPr>
            <a:pPr/>
            <a:t>5,84%</a:t>
          </a:fld>
          <a:endParaRPr lang="pt-BR" sz="1800" kern="1200">
            <a:solidFill>
              <a:schemeClr val="accent5">
                <a:lumMod val="50000"/>
              </a:schemeClr>
            </a:solidFill>
            <a:latin typeface="Aptos ExtraBold" panose="020B0004020202020204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5</xdr:row>
      <xdr:rowOff>47625</xdr:rowOff>
    </xdr:from>
    <xdr:to>
      <xdr:col>3</xdr:col>
      <xdr:colOff>523875</xdr:colOff>
      <xdr:row>22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E4AB0B-93AE-44B0-8B0B-3BA9C115D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971550</xdr:colOff>
      <xdr:row>14</xdr:row>
      <xdr:rowOff>95250</xdr:rowOff>
    </xdr:from>
    <xdr:to>
      <xdr:col>1</xdr:col>
      <xdr:colOff>1447800</xdr:colOff>
      <xdr:row>18</xdr:row>
      <xdr:rowOff>133351</xdr:rowOff>
    </xdr:to>
    <xdr:sp macro="" textlink="$C$3">
      <xdr:nvSpPr>
        <xdr:cNvPr id="3" name="CaixaDeTexto 2">
          <a:extLst>
            <a:ext uri="{FF2B5EF4-FFF2-40B4-BE49-F238E27FC236}">
              <a16:creationId xmlns:a16="http://schemas.microsoft.com/office/drawing/2014/main" id="{FF06DA45-E3EC-433C-8F06-671D7152A063}"/>
            </a:ext>
          </a:extLst>
        </xdr:cNvPr>
        <xdr:cNvSpPr txBox="1"/>
      </xdr:nvSpPr>
      <xdr:spPr>
        <a:xfrm rot="16200000">
          <a:off x="933449" y="3324226"/>
          <a:ext cx="800101" cy="476250"/>
        </a:xfrm>
        <a:prstGeom prst="rect">
          <a:avLst/>
        </a:prstGeom>
        <a:solidFill>
          <a:srgbClr val="811C1A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6F4E2D2D-CBE6-4208-998B-383DE1DE8FC3}" type="TxLink"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Aptos ExtraBold"/>
              <a:ea typeface="+mn-ea"/>
              <a:cs typeface="Calibri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1,97%</a:t>
          </a:fld>
          <a:endParaRPr kumimoji="0" lang="pt-BR" sz="1600" b="0" i="0" u="none" strike="noStrike" kern="0" cap="none" spc="0" normalizeH="0" baseline="0" noProof="0">
            <a:ln>
              <a:noFill/>
            </a:ln>
            <a:solidFill>
              <a:srgbClr val="FFC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2433638</xdr:colOff>
      <xdr:row>13</xdr:row>
      <xdr:rowOff>4763</xdr:rowOff>
    </xdr:from>
    <xdr:to>
      <xdr:col>1</xdr:col>
      <xdr:colOff>2776537</xdr:colOff>
      <xdr:row>17</xdr:row>
      <xdr:rowOff>33338</xdr:rowOff>
    </xdr:to>
    <xdr:sp macro="" textlink="$C$4">
      <xdr:nvSpPr>
        <xdr:cNvPr id="4" name="CaixaDeTexto 3">
          <a:extLst>
            <a:ext uri="{FF2B5EF4-FFF2-40B4-BE49-F238E27FC236}">
              <a16:creationId xmlns:a16="http://schemas.microsoft.com/office/drawing/2014/main" id="{7F885320-DD44-4C0B-99D3-6CF01A136AAB}"/>
            </a:ext>
          </a:extLst>
        </xdr:cNvPr>
        <xdr:cNvSpPr txBox="1"/>
      </xdr:nvSpPr>
      <xdr:spPr>
        <a:xfrm rot="16200000">
          <a:off x="2333625" y="3105151"/>
          <a:ext cx="790575" cy="34289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3F3FD63-89A2-4FFD-AC1D-54177E0BB0F0}" type="TxLink"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Aptos ExtraBold"/>
              <a:ea typeface="+mn-ea"/>
              <a:cs typeface="Calibri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2,09%</a:t>
          </a:fld>
          <a:endParaRPr kumimoji="0" lang="pt-BR" sz="1100" b="0" i="0" u="none" strike="noStrike" kern="0" cap="none" spc="0" normalizeH="0" baseline="0" noProof="0">
            <a:ln>
              <a:noFill/>
            </a:ln>
            <a:solidFill>
              <a:srgbClr val="FFC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34028</xdr:colOff>
      <xdr:row>24</xdr:row>
      <xdr:rowOff>33334</xdr:rowOff>
    </xdr:from>
    <xdr:to>
      <xdr:col>3</xdr:col>
      <xdr:colOff>574912</xdr:colOff>
      <xdr:row>39</xdr:row>
      <xdr:rowOff>163282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C5C490-AD24-4DEB-A834-C933A6321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27214</xdr:colOff>
      <xdr:row>24</xdr:row>
      <xdr:rowOff>13607</xdr:rowOff>
    </xdr:from>
    <xdr:to>
      <xdr:col>3</xdr:col>
      <xdr:colOff>605517</xdr:colOff>
      <xdr:row>39</xdr:row>
      <xdr:rowOff>176892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4E73E5A1-D2EE-4A52-8880-E5B0F30D3978}"/>
            </a:ext>
          </a:extLst>
        </xdr:cNvPr>
        <xdr:cNvSpPr/>
      </xdr:nvSpPr>
      <xdr:spPr>
        <a:xfrm>
          <a:off x="151039" y="5014232"/>
          <a:ext cx="6131378" cy="3030310"/>
        </a:xfrm>
        <a:prstGeom prst="rect">
          <a:avLst/>
        </a:prstGeom>
        <a:noFill/>
        <a:ln w="38100">
          <a:solidFill>
            <a:srgbClr val="82232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</xdr:row>
      <xdr:rowOff>27211</xdr:rowOff>
    </xdr:from>
    <xdr:to>
      <xdr:col>4</xdr:col>
      <xdr:colOff>6804</xdr:colOff>
      <xdr:row>22</xdr:row>
      <xdr:rowOff>183697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EFF7486D-4416-4191-8A41-BC5EF5F82044}"/>
            </a:ext>
          </a:extLst>
        </xdr:cNvPr>
        <xdr:cNvSpPr/>
      </xdr:nvSpPr>
      <xdr:spPr>
        <a:xfrm>
          <a:off x="123825" y="227236"/>
          <a:ext cx="6169479" cy="4547511"/>
        </a:xfrm>
        <a:prstGeom prst="rect">
          <a:avLst/>
        </a:prstGeom>
        <a:noFill/>
        <a:ln w="38100">
          <a:solidFill>
            <a:srgbClr val="82232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0.3961</cdr:x>
      <cdr:y>0.37652</cdr:y>
    </cdr:from>
    <cdr:to>
      <cdr:x>0.58258</cdr:x>
      <cdr:y>0.72872</cdr:y>
    </cdr:to>
    <cdr:sp macro="" textlink="'3.3.3 PERCENTUAL CONTRATO'!$C$61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F3741130-E4E8-5B2E-A426-F2F2438DDB6A}"/>
            </a:ext>
          </a:extLst>
        </cdr:cNvPr>
        <cdr:cNvSpPr/>
      </cdr:nvSpPr>
      <cdr:spPr>
        <a:xfrm xmlns:a="http://schemas.openxmlformats.org/drawingml/2006/main">
          <a:off x="2413810" y="1128423"/>
          <a:ext cx="1136402" cy="1055533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lIns="0" tIns="0" rIns="0" bIns="0" anchor="ctr" anchorCtr="0"/>
        <a:lstStyle xmlns:a="http://schemas.openxmlformats.org/drawingml/2006/main"/>
        <a:p xmlns:a="http://schemas.openxmlformats.org/drawingml/2006/main">
          <a:fld id="{B3B00057-C078-4888-988A-0C9F24C85A08}" type="TxLink">
            <a:rPr lang="en-US" sz="2000" b="0" i="0" u="none" strike="noStrike" kern="1200">
              <a:solidFill>
                <a:schemeClr val="accent5">
                  <a:lumMod val="50000"/>
                </a:schemeClr>
              </a:solidFill>
              <a:latin typeface="Arial Rounded MT Bold"/>
            </a:rPr>
            <a:pPr/>
            <a:t>5,84%</a:t>
          </a:fld>
          <a:endParaRPr lang="pt-BR" sz="2000" kern="1200">
            <a:solidFill>
              <a:schemeClr val="accent5">
                <a:lumMod val="50000"/>
              </a:schemeClr>
            </a:solidFill>
            <a:latin typeface="Arial Rounded MT Bold" panose="020F070403050403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Amarelo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Amarelo">
    <a:dk1>
      <a:sysClr val="windowText" lastClr="000000"/>
    </a:dk1>
    <a:lt1>
      <a:sysClr val="window" lastClr="FFFFFF"/>
    </a:lt1>
    <a:dk2>
      <a:srgbClr val="39302A"/>
    </a:dk2>
    <a:lt2>
      <a:srgbClr val="E5DEDB"/>
    </a:lt2>
    <a:accent1>
      <a:srgbClr val="FFCA08"/>
    </a:accent1>
    <a:accent2>
      <a:srgbClr val="F8931D"/>
    </a:accent2>
    <a:accent3>
      <a:srgbClr val="CE8D3E"/>
    </a:accent3>
    <a:accent4>
      <a:srgbClr val="EC7016"/>
    </a:accent4>
    <a:accent5>
      <a:srgbClr val="E64823"/>
    </a:accent5>
    <a:accent6>
      <a:srgbClr val="9C6A6A"/>
    </a:accent6>
    <a:hlink>
      <a:srgbClr val="2998E3"/>
    </a:hlink>
    <a:folHlink>
      <a:srgbClr val="7F723D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Amarelo">
    <a:dk1>
      <a:sysClr val="windowText" lastClr="000000"/>
    </a:dk1>
    <a:lt1>
      <a:sysClr val="window" lastClr="FFFFFF"/>
    </a:lt1>
    <a:dk2>
      <a:srgbClr val="39302A"/>
    </a:dk2>
    <a:lt2>
      <a:srgbClr val="E5DEDB"/>
    </a:lt2>
    <a:accent1>
      <a:srgbClr val="FFCA08"/>
    </a:accent1>
    <a:accent2>
      <a:srgbClr val="F8931D"/>
    </a:accent2>
    <a:accent3>
      <a:srgbClr val="CE8D3E"/>
    </a:accent3>
    <a:accent4>
      <a:srgbClr val="EC7016"/>
    </a:accent4>
    <a:accent5>
      <a:srgbClr val="E64823"/>
    </a:accent5>
    <a:accent6>
      <a:srgbClr val="9C6A6A"/>
    </a:accent6>
    <a:hlink>
      <a:srgbClr val="2998E3"/>
    </a:hlink>
    <a:folHlink>
      <a:srgbClr val="7F723D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Amarelo">
    <a:dk1>
      <a:sysClr val="windowText" lastClr="000000"/>
    </a:dk1>
    <a:lt1>
      <a:sysClr val="window" lastClr="FFFFFF"/>
    </a:lt1>
    <a:dk2>
      <a:srgbClr val="39302A"/>
    </a:dk2>
    <a:lt2>
      <a:srgbClr val="E5DEDB"/>
    </a:lt2>
    <a:accent1>
      <a:srgbClr val="FFCA08"/>
    </a:accent1>
    <a:accent2>
      <a:srgbClr val="F8931D"/>
    </a:accent2>
    <a:accent3>
      <a:srgbClr val="CE8D3E"/>
    </a:accent3>
    <a:accent4>
      <a:srgbClr val="EC7016"/>
    </a:accent4>
    <a:accent5>
      <a:srgbClr val="E64823"/>
    </a:accent5>
    <a:accent6>
      <a:srgbClr val="9C6A6A"/>
    </a:accent6>
    <a:hlink>
      <a:srgbClr val="2998E3"/>
    </a:hlink>
    <a:folHlink>
      <a:srgbClr val="7F723D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A1A7-BD1F-4326-A113-C34DC6533F66}">
  <dimension ref="A1:R91"/>
  <sheetViews>
    <sheetView zoomScale="120" zoomScaleNormal="120" workbookViewId="0">
      <selection activeCell="J5" sqref="J5"/>
    </sheetView>
  </sheetViews>
  <sheetFormatPr defaultRowHeight="15" x14ac:dyDescent="0.25"/>
  <cols>
    <col min="1" max="1" width="2.5703125" style="3" customWidth="1"/>
    <col min="2" max="2" width="9.140625" style="3"/>
    <col min="3" max="3" width="26.28515625" style="3" customWidth="1"/>
    <col min="4" max="4" width="9.140625" style="3"/>
    <col min="5" max="5" width="5.5703125" style="3" customWidth="1"/>
    <col min="6" max="6" width="9.140625" style="3"/>
    <col min="7" max="7" width="10.7109375" style="3" customWidth="1"/>
    <col min="8" max="8" width="11.140625" style="3" customWidth="1"/>
    <col min="9" max="9" width="21" style="3" customWidth="1"/>
    <col min="10" max="10" width="28.5703125" style="3" customWidth="1"/>
    <col min="11" max="16384" width="9.140625" style="3"/>
  </cols>
  <sheetData>
    <row r="1" spans="1:18" ht="15.75" thickBot="1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spans="1:18" ht="27.75" thickTop="1" thickBot="1" x14ac:dyDescent="0.45">
      <c r="A2" s="2"/>
      <c r="B2" s="164" t="s">
        <v>43</v>
      </c>
      <c r="C2" s="165"/>
      <c r="D2" s="165"/>
      <c r="E2" s="165"/>
      <c r="F2" s="165"/>
      <c r="G2" s="165"/>
      <c r="H2" s="165"/>
      <c r="I2" s="165"/>
      <c r="J2"/>
      <c r="K2"/>
      <c r="L2"/>
      <c r="M2"/>
      <c r="N2"/>
      <c r="O2"/>
      <c r="P2"/>
      <c r="Q2"/>
    </row>
    <row r="3" spans="1:18" ht="19.5" thickTop="1" thickBot="1" x14ac:dyDescent="0.3">
      <c r="A3" s="2"/>
      <c r="B3" s="123" t="s">
        <v>163</v>
      </c>
      <c r="C3" s="124"/>
      <c r="D3" s="124"/>
      <c r="E3" s="125"/>
      <c r="F3" s="126" t="s">
        <v>164</v>
      </c>
      <c r="G3" s="127"/>
      <c r="H3" s="127"/>
      <c r="I3" s="127"/>
      <c r="J3"/>
      <c r="K3"/>
      <c r="L3"/>
      <c r="M3"/>
      <c r="N3"/>
      <c r="O3"/>
      <c r="P3"/>
      <c r="Q3"/>
    </row>
    <row r="4" spans="1:18" ht="19.5" thickTop="1" thickBot="1" x14ac:dyDescent="0.3">
      <c r="A4" s="2"/>
      <c r="B4" s="123" t="s">
        <v>0</v>
      </c>
      <c r="C4" s="124"/>
      <c r="D4" s="124"/>
      <c r="E4" s="125"/>
      <c r="F4" s="126" t="s">
        <v>146</v>
      </c>
      <c r="G4" s="127"/>
      <c r="H4" s="127"/>
      <c r="I4" s="127"/>
      <c r="J4"/>
      <c r="K4"/>
      <c r="L4"/>
      <c r="M4"/>
      <c r="N4"/>
      <c r="O4"/>
      <c r="P4"/>
      <c r="Q4"/>
    </row>
    <row r="5" spans="1:18" ht="19.5" thickTop="1" thickBot="1" x14ac:dyDescent="0.3">
      <c r="A5" s="2"/>
      <c r="B5" s="157" t="s">
        <v>1</v>
      </c>
      <c r="C5" s="157"/>
      <c r="D5" s="157"/>
      <c r="E5" s="157"/>
      <c r="F5" s="155"/>
      <c r="G5" s="156"/>
      <c r="H5" s="156"/>
      <c r="I5" s="156"/>
      <c r="J5"/>
      <c r="K5"/>
      <c r="L5"/>
      <c r="M5"/>
      <c r="N5"/>
      <c r="O5"/>
      <c r="P5"/>
      <c r="Q5"/>
    </row>
    <row r="6" spans="1:18" ht="19.5" thickTop="1" thickBot="1" x14ac:dyDescent="0.3">
      <c r="A6" s="2"/>
      <c r="B6" s="157" t="s">
        <v>40</v>
      </c>
      <c r="C6" s="157"/>
      <c r="D6" s="157"/>
      <c r="E6" s="157"/>
      <c r="F6" s="166">
        <v>45148</v>
      </c>
      <c r="G6" s="167"/>
      <c r="H6" s="22"/>
      <c r="I6" s="42"/>
      <c r="J6"/>
      <c r="K6"/>
      <c r="L6"/>
      <c r="M6"/>
      <c r="N6"/>
      <c r="O6"/>
      <c r="P6"/>
      <c r="Q6"/>
    </row>
    <row r="7" spans="1:18" ht="19.5" thickTop="1" thickBot="1" x14ac:dyDescent="0.3">
      <c r="A7" s="2"/>
      <c r="B7" s="123" t="s">
        <v>41</v>
      </c>
      <c r="C7" s="124"/>
      <c r="D7" s="124"/>
      <c r="E7" s="125"/>
      <c r="F7" s="126" t="s">
        <v>46</v>
      </c>
      <c r="G7" s="127"/>
      <c r="H7" s="127"/>
      <c r="I7" s="127"/>
      <c r="J7"/>
      <c r="K7"/>
      <c r="L7"/>
      <c r="M7"/>
      <c r="N7"/>
      <c r="O7"/>
      <c r="P7"/>
      <c r="Q7"/>
    </row>
    <row r="8" spans="1:18" ht="19.5" thickTop="1" thickBot="1" x14ac:dyDescent="0.3">
      <c r="A8" s="2"/>
      <c r="B8" s="123" t="s">
        <v>44</v>
      </c>
      <c r="C8" s="124"/>
      <c r="D8" s="124"/>
      <c r="E8" s="125"/>
      <c r="F8" s="126" t="s">
        <v>45</v>
      </c>
      <c r="G8" s="127"/>
      <c r="H8" s="127"/>
      <c r="I8" s="127"/>
      <c r="J8"/>
      <c r="K8"/>
      <c r="L8"/>
      <c r="M8"/>
      <c r="N8"/>
      <c r="O8"/>
      <c r="P8"/>
      <c r="Q8"/>
    </row>
    <row r="9" spans="1:18" ht="19.5" thickTop="1" thickBot="1" x14ac:dyDescent="0.3">
      <c r="A9" s="2"/>
      <c r="B9" s="123" t="s">
        <v>54</v>
      </c>
      <c r="C9" s="124"/>
      <c r="D9" s="124"/>
      <c r="E9" s="125"/>
      <c r="F9" s="161"/>
      <c r="G9" s="162"/>
      <c r="H9" s="162"/>
      <c r="I9" s="163"/>
      <c r="J9"/>
      <c r="K9"/>
      <c r="L9"/>
      <c r="M9"/>
      <c r="N9"/>
      <c r="O9"/>
      <c r="P9"/>
      <c r="Q9"/>
    </row>
    <row r="10" spans="1:18" ht="25.5" thickTop="1" thickBot="1" x14ac:dyDescent="0.45">
      <c r="A10" s="2"/>
      <c r="B10" s="158" t="s">
        <v>129</v>
      </c>
      <c r="C10" s="159"/>
      <c r="D10" s="159"/>
      <c r="E10" s="160"/>
      <c r="F10" s="168" t="s">
        <v>29</v>
      </c>
      <c r="G10" s="169"/>
      <c r="H10" s="169"/>
      <c r="I10" s="169"/>
      <c r="J10"/>
      <c r="K10"/>
      <c r="L10"/>
      <c r="M10"/>
      <c r="N10"/>
      <c r="O10"/>
      <c r="P10"/>
      <c r="Q10"/>
    </row>
    <row r="11" spans="1:18" ht="19.5" thickTop="1" thickBot="1" x14ac:dyDescent="0.3">
      <c r="A11" s="2"/>
      <c r="B11" s="128" t="s">
        <v>40</v>
      </c>
      <c r="C11" s="129"/>
      <c r="D11" s="129"/>
      <c r="E11" s="129"/>
      <c r="F11" s="129"/>
      <c r="G11" s="129"/>
      <c r="H11" s="130"/>
      <c r="I11" s="98">
        <v>45148</v>
      </c>
      <c r="J11"/>
      <c r="K11"/>
      <c r="L11"/>
      <c r="M11"/>
      <c r="N11"/>
      <c r="O11"/>
      <c r="P11"/>
      <c r="Q11"/>
      <c r="R11"/>
    </row>
    <row r="12" spans="1:18" ht="19.5" thickTop="1" thickBot="1" x14ac:dyDescent="0.3">
      <c r="A12" s="2"/>
      <c r="B12" s="149" t="s">
        <v>130</v>
      </c>
      <c r="C12" s="150"/>
      <c r="D12" s="150"/>
      <c r="E12" s="150"/>
      <c r="F12" s="150"/>
      <c r="G12" s="150"/>
      <c r="H12" s="151"/>
      <c r="I12" s="99">
        <v>39318.44</v>
      </c>
      <c r="J12"/>
      <c r="K12"/>
      <c r="L12"/>
      <c r="M12"/>
      <c r="N12"/>
      <c r="O12"/>
      <c r="P12"/>
      <c r="Q12"/>
      <c r="R12"/>
    </row>
    <row r="13" spans="1:18" ht="19.5" thickTop="1" thickBot="1" x14ac:dyDescent="0.3">
      <c r="A13" s="2"/>
      <c r="B13" s="128" t="s">
        <v>147</v>
      </c>
      <c r="C13" s="129"/>
      <c r="D13" s="129"/>
      <c r="E13" s="129"/>
      <c r="F13" s="129"/>
      <c r="G13" s="129"/>
      <c r="H13" s="130"/>
      <c r="I13" s="99">
        <v>6000</v>
      </c>
      <c r="J13"/>
      <c r="K13"/>
      <c r="L13"/>
      <c r="M13"/>
      <c r="N13"/>
      <c r="O13"/>
      <c r="P13"/>
      <c r="Q13"/>
      <c r="R13"/>
    </row>
    <row r="14" spans="1:18" ht="19.5" thickTop="1" thickBot="1" x14ac:dyDescent="0.3">
      <c r="A14" s="2"/>
      <c r="B14" s="128" t="s">
        <v>131</v>
      </c>
      <c r="C14" s="129"/>
      <c r="D14" s="129"/>
      <c r="E14" s="129"/>
      <c r="F14" s="129"/>
      <c r="G14" s="129"/>
      <c r="H14" s="130"/>
      <c r="I14" s="99"/>
      <c r="J14" s="99">
        <f>SUM(I12:I13)</f>
        <v>45318.44</v>
      </c>
      <c r="K14"/>
      <c r="L14"/>
      <c r="M14"/>
      <c r="N14"/>
      <c r="O14"/>
      <c r="P14"/>
      <c r="Q14"/>
      <c r="R14"/>
    </row>
    <row r="15" spans="1:18" ht="19.5" thickTop="1" thickBot="1" x14ac:dyDescent="0.3">
      <c r="A15" s="2"/>
      <c r="B15" s="128" t="s">
        <v>132</v>
      </c>
      <c r="C15" s="129"/>
      <c r="D15" s="129"/>
      <c r="E15" s="129"/>
      <c r="F15" s="129"/>
      <c r="G15" s="129"/>
      <c r="H15" s="130"/>
      <c r="I15" s="99">
        <v>206.13</v>
      </c>
      <c r="J15"/>
      <c r="K15"/>
      <c r="L15"/>
      <c r="M15"/>
      <c r="N15"/>
      <c r="O15"/>
      <c r="P15"/>
      <c r="Q15"/>
      <c r="R15"/>
    </row>
    <row r="16" spans="1:18" ht="19.5" thickTop="1" thickBot="1" x14ac:dyDescent="0.3">
      <c r="A16" s="2"/>
      <c r="B16" s="149" t="s">
        <v>133</v>
      </c>
      <c r="C16" s="150"/>
      <c r="D16" s="150"/>
      <c r="E16" s="150"/>
      <c r="F16" s="150"/>
      <c r="G16" s="150"/>
      <c r="H16" s="151"/>
      <c r="I16" s="99"/>
      <c r="J16"/>
      <c r="K16"/>
      <c r="L16"/>
      <c r="M16"/>
      <c r="N16"/>
      <c r="O16"/>
      <c r="P16"/>
      <c r="Q16"/>
      <c r="R16"/>
    </row>
    <row r="17" spans="1:18" ht="19.5" thickTop="1" thickBot="1" x14ac:dyDescent="0.3">
      <c r="A17" s="2"/>
      <c r="B17" s="149" t="s">
        <v>134</v>
      </c>
      <c r="C17" s="150"/>
      <c r="D17" s="150"/>
      <c r="E17" s="150"/>
      <c r="F17" s="150"/>
      <c r="G17" s="150"/>
      <c r="H17" s="151"/>
      <c r="I17" s="99"/>
      <c r="J17"/>
      <c r="K17"/>
      <c r="L17"/>
      <c r="M17"/>
      <c r="N17"/>
      <c r="O17"/>
      <c r="P17"/>
      <c r="Q17"/>
      <c r="R17"/>
    </row>
    <row r="18" spans="1:18" ht="19.5" thickTop="1" thickBot="1" x14ac:dyDescent="0.3">
      <c r="A18" s="2"/>
      <c r="B18" s="149"/>
      <c r="C18" s="150"/>
      <c r="D18" s="150"/>
      <c r="E18" s="150"/>
      <c r="F18" s="150"/>
      <c r="G18" s="150"/>
      <c r="H18" s="151"/>
      <c r="I18" s="99"/>
      <c r="J18"/>
      <c r="K18"/>
      <c r="L18"/>
      <c r="M18"/>
      <c r="N18"/>
      <c r="O18"/>
      <c r="P18"/>
      <c r="Q18"/>
      <c r="R18"/>
    </row>
    <row r="19" spans="1:18" ht="19.5" thickTop="1" thickBot="1" x14ac:dyDescent="0.3">
      <c r="A19" s="2"/>
      <c r="B19" s="152" t="s">
        <v>135</v>
      </c>
      <c r="C19" s="153"/>
      <c r="D19" s="153"/>
      <c r="E19" s="153"/>
      <c r="F19" s="153"/>
      <c r="G19" s="153"/>
      <c r="H19" s="154"/>
      <c r="I19" s="100">
        <f>SUM(I12:I18)</f>
        <v>45524.57</v>
      </c>
      <c r="J19"/>
      <c r="K19"/>
      <c r="L19"/>
      <c r="M19"/>
      <c r="N19"/>
      <c r="O19"/>
      <c r="P19"/>
      <c r="Q19"/>
      <c r="R19"/>
    </row>
    <row r="20" spans="1:18" ht="19.5" thickTop="1" thickBot="1" x14ac:dyDescent="0.3">
      <c r="A20" s="2"/>
      <c r="B20" s="149" t="s">
        <v>27</v>
      </c>
      <c r="C20" s="150"/>
      <c r="D20" s="150"/>
      <c r="E20" s="150"/>
      <c r="F20" s="150"/>
      <c r="G20" s="150"/>
      <c r="H20" s="151"/>
      <c r="I20" s="102">
        <v>72</v>
      </c>
      <c r="J20"/>
      <c r="K20"/>
      <c r="L20"/>
      <c r="M20"/>
      <c r="N20"/>
      <c r="O20"/>
      <c r="P20"/>
      <c r="Q20"/>
      <c r="R20"/>
    </row>
    <row r="21" spans="1:18" ht="19.5" thickTop="1" thickBot="1" x14ac:dyDescent="0.3">
      <c r="A21" s="2"/>
      <c r="B21" s="149" t="s">
        <v>138</v>
      </c>
      <c r="C21" s="150"/>
      <c r="D21" s="150"/>
      <c r="E21" s="150"/>
      <c r="F21" s="150"/>
      <c r="G21" s="150"/>
      <c r="H21" s="151"/>
      <c r="I21" s="103">
        <v>1221.3499999999999</v>
      </c>
      <c r="J21"/>
      <c r="K21"/>
      <c r="L21"/>
      <c r="M21"/>
      <c r="N21"/>
      <c r="O21"/>
      <c r="P21"/>
      <c r="Q21"/>
      <c r="R21"/>
    </row>
    <row r="22" spans="1:18" ht="19.5" thickTop="1" thickBot="1" x14ac:dyDescent="0.3">
      <c r="A22" s="2"/>
      <c r="B22" s="128" t="s">
        <v>136</v>
      </c>
      <c r="C22" s="129"/>
      <c r="D22" s="129"/>
      <c r="E22" s="129"/>
      <c r="F22" s="129"/>
      <c r="G22" s="129"/>
      <c r="H22" s="130"/>
      <c r="I22" s="104">
        <v>1.9699999999999999E-2</v>
      </c>
      <c r="J22"/>
      <c r="K22"/>
      <c r="L22"/>
      <c r="M22"/>
      <c r="N22"/>
      <c r="O22"/>
      <c r="P22"/>
      <c r="Q22"/>
      <c r="R22"/>
    </row>
    <row r="23" spans="1:18" ht="19.5" thickTop="1" thickBot="1" x14ac:dyDescent="0.3">
      <c r="A23" s="2"/>
      <c r="B23" s="131" t="s">
        <v>148</v>
      </c>
      <c r="C23" s="132"/>
      <c r="D23" s="132"/>
      <c r="E23" s="132"/>
      <c r="F23" s="132"/>
      <c r="G23" s="132"/>
      <c r="H23" s="133"/>
      <c r="I23" s="107">
        <v>45208</v>
      </c>
      <c r="J23"/>
      <c r="K23"/>
      <c r="L23"/>
      <c r="M23"/>
      <c r="N23"/>
      <c r="O23"/>
      <c r="P23"/>
      <c r="Q23"/>
      <c r="R23"/>
    </row>
    <row r="24" spans="1:18" ht="19.5" thickTop="1" thickBot="1" x14ac:dyDescent="0.3">
      <c r="A24" s="2"/>
      <c r="B24" s="128" t="s">
        <v>137</v>
      </c>
      <c r="C24" s="129"/>
      <c r="D24" s="129"/>
      <c r="E24" s="129"/>
      <c r="F24" s="129"/>
      <c r="G24" s="129"/>
      <c r="H24" s="130"/>
      <c r="I24" s="105">
        <f>'TODOS 6 CALCULOS'!D6</f>
        <v>2.0851286173794104E-2</v>
      </c>
      <c r="J24"/>
      <c r="K24"/>
      <c r="L24"/>
      <c r="M24"/>
      <c r="N24"/>
      <c r="O24"/>
      <c r="P24"/>
      <c r="Q24"/>
      <c r="R24"/>
    </row>
    <row r="25" spans="1:18" ht="19.5" thickTop="1" thickBot="1" x14ac:dyDescent="0.3">
      <c r="A25" s="2"/>
      <c r="B25" s="128" t="s">
        <v>139</v>
      </c>
      <c r="C25" s="129"/>
      <c r="D25" s="129"/>
      <c r="E25" s="129"/>
      <c r="F25" s="129"/>
      <c r="G25" s="129"/>
      <c r="H25" s="130"/>
      <c r="I25" s="106">
        <f>'TODOS 6 CALCULOS'!D14</f>
        <v>1183.2065436317491</v>
      </c>
      <c r="J25"/>
      <c r="K25"/>
      <c r="L25"/>
      <c r="M25"/>
      <c r="N25"/>
      <c r="O25"/>
      <c r="P25"/>
      <c r="Q25"/>
      <c r="R25"/>
    </row>
    <row r="26" spans="1:18" ht="17.25" thickTop="1" thickBot="1" x14ac:dyDescent="0.3">
      <c r="A26" s="2"/>
      <c r="B26" s="128" t="s">
        <v>140</v>
      </c>
      <c r="C26" s="129"/>
      <c r="D26" s="129"/>
      <c r="E26" s="129"/>
      <c r="F26" s="129"/>
      <c r="G26" s="129"/>
      <c r="H26" s="130"/>
      <c r="J26"/>
      <c r="K26"/>
      <c r="L26"/>
      <c r="M26"/>
      <c r="N26"/>
      <c r="O26"/>
      <c r="P26"/>
      <c r="Q26"/>
      <c r="R26"/>
    </row>
    <row r="27" spans="1:18" ht="19.5" thickTop="1" thickBot="1" x14ac:dyDescent="0.3">
      <c r="A27" s="2"/>
      <c r="B27" s="128" t="s">
        <v>141</v>
      </c>
      <c r="C27" s="129"/>
      <c r="D27" s="129"/>
      <c r="E27" s="129"/>
      <c r="F27" s="129"/>
      <c r="G27" s="129"/>
      <c r="H27" s="130"/>
      <c r="I27" s="93"/>
      <c r="J27"/>
      <c r="K27"/>
      <c r="L27"/>
      <c r="M27"/>
      <c r="N27"/>
      <c r="O27"/>
      <c r="P27"/>
      <c r="Q27"/>
      <c r="R27"/>
    </row>
    <row r="28" spans="1:18" ht="19.5" thickTop="1" thickBot="1" x14ac:dyDescent="0.3">
      <c r="A28" s="2"/>
      <c r="B28" s="128" t="s">
        <v>142</v>
      </c>
      <c r="C28" s="129"/>
      <c r="D28" s="129"/>
      <c r="E28" s="129"/>
      <c r="F28" s="129"/>
      <c r="G28" s="129"/>
      <c r="H28" s="130"/>
      <c r="I28" s="93">
        <f>'CALCULO DE DATAS'!D6</f>
        <v>36</v>
      </c>
      <c r="J28"/>
      <c r="K28"/>
      <c r="L28"/>
      <c r="M28"/>
      <c r="N28"/>
      <c r="O28"/>
      <c r="P28"/>
      <c r="Q28"/>
      <c r="R28"/>
    </row>
    <row r="29" spans="1:18" ht="19.5" thickTop="1" thickBot="1" x14ac:dyDescent="0.3">
      <c r="A29" s="2"/>
      <c r="B29" s="128" t="s">
        <v>149</v>
      </c>
      <c r="C29" s="129"/>
      <c r="D29" s="129"/>
      <c r="E29" s="129"/>
      <c r="F29" s="129"/>
      <c r="G29" s="129"/>
      <c r="H29" s="130"/>
      <c r="I29" s="93">
        <f>'TODOS 6 CALCULOS'!$D$19</f>
        <v>67</v>
      </c>
      <c r="J29"/>
      <c r="K29"/>
      <c r="L29"/>
      <c r="M29"/>
      <c r="N29"/>
      <c r="O29"/>
      <c r="P29"/>
      <c r="Q29"/>
      <c r="R29"/>
    </row>
    <row r="30" spans="1:18" ht="19.5" thickTop="1" thickBot="1" x14ac:dyDescent="0.3">
      <c r="A30" s="2"/>
      <c r="B30" s="128" t="s">
        <v>143</v>
      </c>
      <c r="C30" s="129"/>
      <c r="D30" s="129"/>
      <c r="E30" s="129"/>
      <c r="F30" s="129"/>
      <c r="G30" s="129"/>
      <c r="H30" s="130"/>
      <c r="I30" s="93">
        <f>I28*I21</f>
        <v>43968.6</v>
      </c>
      <c r="J30"/>
      <c r="K30"/>
      <c r="L30"/>
      <c r="M30"/>
      <c r="N30"/>
      <c r="O30"/>
      <c r="P30"/>
      <c r="Q30"/>
      <c r="R30"/>
    </row>
    <row r="31" spans="1:18" ht="19.5" thickTop="1" thickBot="1" x14ac:dyDescent="0.3">
      <c r="A31" s="2"/>
      <c r="B31" s="128" t="s">
        <v>144</v>
      </c>
      <c r="C31" s="129"/>
      <c r="D31" s="129"/>
      <c r="E31" s="129"/>
      <c r="F31" s="129"/>
      <c r="G31" s="129"/>
      <c r="H31" s="130"/>
      <c r="I31" s="93"/>
      <c r="J31"/>
      <c r="K31"/>
      <c r="L31"/>
      <c r="M31"/>
      <c r="N31"/>
      <c r="O31"/>
      <c r="P31"/>
      <c r="Q31"/>
      <c r="R31"/>
    </row>
    <row r="32" spans="1:18" ht="19.5" thickTop="1" thickBot="1" x14ac:dyDescent="0.3">
      <c r="A32" s="2"/>
      <c r="B32" s="128" t="s">
        <v>106</v>
      </c>
      <c r="C32" s="129"/>
      <c r="D32" s="129"/>
      <c r="E32" s="129"/>
      <c r="F32" s="129"/>
      <c r="G32" s="129"/>
      <c r="H32" s="130"/>
      <c r="I32" s="26"/>
      <c r="J32"/>
      <c r="K32"/>
      <c r="L32"/>
      <c r="M32"/>
      <c r="N32"/>
      <c r="O32"/>
      <c r="P32"/>
      <c r="Q32"/>
      <c r="R32"/>
    </row>
    <row r="33" spans="1:18" ht="19.5" thickTop="1" thickBot="1" x14ac:dyDescent="0.3">
      <c r="A33" s="2"/>
      <c r="B33" s="128" t="s">
        <v>52</v>
      </c>
      <c r="C33" s="129"/>
      <c r="D33" s="129"/>
      <c r="E33" s="129"/>
      <c r="F33" s="129"/>
      <c r="G33" s="129"/>
      <c r="H33" s="130"/>
      <c r="I33" s="26"/>
      <c r="J33"/>
      <c r="K33"/>
      <c r="L33"/>
      <c r="M33"/>
      <c r="N33"/>
      <c r="O33"/>
      <c r="P33"/>
      <c r="Q33"/>
      <c r="R33"/>
    </row>
    <row r="34" spans="1:18" ht="19.5" thickTop="1" thickBot="1" x14ac:dyDescent="0.3">
      <c r="A34" s="2"/>
      <c r="B34" s="128" t="s">
        <v>145</v>
      </c>
      <c r="C34" s="129"/>
      <c r="D34" s="129"/>
      <c r="E34" s="129"/>
      <c r="F34" s="129"/>
      <c r="G34" s="129"/>
      <c r="H34" s="130"/>
      <c r="I34" s="101" cm="1">
        <f t="array" ref="I34:J34">'1.1.1 PERCENTUAL TAXA MEDIA'!C5:D5</f>
        <v>0.20121951219512177</v>
      </c>
      <c r="J34">
        <v>0</v>
      </c>
      <c r="K34"/>
      <c r="L34"/>
      <c r="M34"/>
      <c r="N34"/>
      <c r="O34"/>
      <c r="P34"/>
      <c r="Q34"/>
      <c r="R34"/>
    </row>
    <row r="35" spans="1:18" ht="19.5" thickTop="1" thickBot="1" x14ac:dyDescent="0.3">
      <c r="A35" s="2"/>
      <c r="B35" s="128"/>
      <c r="C35" s="129"/>
      <c r="D35" s="129"/>
      <c r="E35" s="129"/>
      <c r="F35" s="129"/>
      <c r="G35" s="129"/>
      <c r="H35" s="130"/>
      <c r="I35" s="26"/>
      <c r="J35"/>
      <c r="K35"/>
      <c r="L35"/>
      <c r="M35"/>
      <c r="N35"/>
      <c r="O35"/>
      <c r="P35"/>
      <c r="Q35"/>
      <c r="R35"/>
    </row>
    <row r="36" spans="1:18" ht="19.5" thickTop="1" thickBot="1" x14ac:dyDescent="0.3">
      <c r="A36" s="2"/>
      <c r="B36" s="128"/>
      <c r="C36" s="129"/>
      <c r="D36" s="129"/>
      <c r="E36" s="129"/>
      <c r="F36" s="129"/>
      <c r="G36" s="129"/>
      <c r="H36" s="130"/>
      <c r="I36" s="26"/>
      <c r="J36"/>
      <c r="K36"/>
      <c r="L36"/>
      <c r="M36"/>
      <c r="N36"/>
      <c r="O36"/>
      <c r="P36"/>
      <c r="Q36"/>
      <c r="R36"/>
    </row>
    <row r="37" spans="1:18" ht="19.5" thickTop="1" thickBot="1" x14ac:dyDescent="0.3">
      <c r="A37" s="2"/>
      <c r="B37" s="128"/>
      <c r="C37" s="129"/>
      <c r="D37" s="129"/>
      <c r="E37" s="129"/>
      <c r="F37" s="129"/>
      <c r="G37" s="129"/>
      <c r="H37" s="130"/>
      <c r="I37" s="25"/>
      <c r="J37"/>
      <c r="K37"/>
      <c r="L37"/>
      <c r="M37"/>
      <c r="N37"/>
      <c r="O37"/>
      <c r="P37"/>
      <c r="Q37"/>
      <c r="R37"/>
    </row>
    <row r="38" spans="1:18" ht="25.5" thickTop="1" thickBot="1" x14ac:dyDescent="0.45">
      <c r="A38" s="2"/>
      <c r="B38" s="140" t="s">
        <v>108</v>
      </c>
      <c r="C38" s="140"/>
      <c r="D38" s="140"/>
      <c r="E38" s="140"/>
      <c r="F38" s="140"/>
      <c r="G38" s="140"/>
      <c r="H38" s="140"/>
      <c r="I38" s="140"/>
      <c r="J38"/>
      <c r="K38"/>
      <c r="L38"/>
      <c r="M38"/>
      <c r="N38"/>
      <c r="O38"/>
      <c r="P38"/>
      <c r="Q38"/>
      <c r="R38"/>
    </row>
    <row r="39" spans="1:18" ht="17.25" thickTop="1" thickBot="1" x14ac:dyDescent="0.3">
      <c r="A39" s="2"/>
      <c r="B39" s="144" t="s">
        <v>115</v>
      </c>
      <c r="C39" s="142"/>
      <c r="D39" s="142"/>
      <c r="E39" s="142"/>
      <c r="F39" s="142"/>
      <c r="G39" s="142"/>
      <c r="H39" s="143"/>
      <c r="I39" s="94">
        <f>'INDICES BACARIOS APURAR TX MEDI'!F44</f>
        <v>1.6400000000000001E-2</v>
      </c>
      <c r="J39"/>
      <c r="K39"/>
      <c r="L39"/>
      <c r="M39"/>
      <c r="N39"/>
      <c r="O39"/>
      <c r="P39"/>
      <c r="Q39"/>
    </row>
    <row r="40" spans="1:18" ht="17.25" thickTop="1" thickBot="1" x14ac:dyDescent="0.3">
      <c r="A40" s="2"/>
      <c r="B40" s="146" t="s">
        <v>109</v>
      </c>
      <c r="C40" s="147"/>
      <c r="D40" s="147"/>
      <c r="E40" s="147"/>
      <c r="F40" s="147"/>
      <c r="G40" s="147"/>
      <c r="H40" s="148"/>
      <c r="I40" s="95">
        <f>'TODOS 6 CALCULOS'!D50</f>
        <v>1077.1150463009665</v>
      </c>
      <c r="J40"/>
      <c r="K40"/>
      <c r="L40"/>
      <c r="M40"/>
      <c r="N40"/>
      <c r="O40"/>
      <c r="P40"/>
      <c r="Q40"/>
    </row>
    <row r="41" spans="1:18" ht="17.25" thickTop="1" thickBot="1" x14ac:dyDescent="0.3">
      <c r="A41" s="2"/>
      <c r="B41" s="144" t="s">
        <v>110</v>
      </c>
      <c r="C41" s="142"/>
      <c r="D41" s="142"/>
      <c r="E41" s="142"/>
      <c r="F41" s="142"/>
      <c r="G41" s="142"/>
      <c r="H41" s="143"/>
      <c r="I41" s="95"/>
      <c r="J41"/>
      <c r="K41"/>
      <c r="L41"/>
      <c r="M41"/>
      <c r="N41"/>
      <c r="O41"/>
      <c r="P41"/>
      <c r="Q41"/>
    </row>
    <row r="42" spans="1:18" ht="17.25" thickTop="1" thickBot="1" x14ac:dyDescent="0.3">
      <c r="A42" s="2"/>
      <c r="B42" s="146" t="s">
        <v>111</v>
      </c>
      <c r="C42" s="147"/>
      <c r="D42" s="147"/>
      <c r="E42" s="147"/>
      <c r="F42" s="147"/>
      <c r="G42" s="147"/>
      <c r="H42" s="148"/>
      <c r="I42" s="81"/>
      <c r="J42"/>
      <c r="K42"/>
      <c r="L42"/>
      <c r="M42"/>
      <c r="N42"/>
      <c r="O42"/>
      <c r="P42"/>
      <c r="Q42"/>
    </row>
    <row r="43" spans="1:18" ht="17.25" thickTop="1" thickBot="1" x14ac:dyDescent="0.3">
      <c r="A43" s="2"/>
      <c r="B43" s="146" t="s">
        <v>112</v>
      </c>
      <c r="C43" s="147"/>
      <c r="D43" s="147"/>
      <c r="E43" s="147"/>
      <c r="F43" s="147"/>
      <c r="G43" s="147"/>
      <c r="H43" s="148"/>
      <c r="I43" s="81">
        <f>'TODOS 6 CALCULOS'!D41</f>
        <v>58</v>
      </c>
      <c r="J43"/>
      <c r="K43"/>
      <c r="L43"/>
      <c r="M43"/>
      <c r="N43"/>
      <c r="O43"/>
      <c r="P43"/>
      <c r="Q43"/>
    </row>
    <row r="44" spans="1:18" ht="17.25" thickTop="1" thickBot="1" x14ac:dyDescent="0.3">
      <c r="A44" s="2"/>
      <c r="B44" s="146" t="s">
        <v>113</v>
      </c>
      <c r="C44" s="147"/>
      <c r="D44" s="147"/>
      <c r="E44" s="147"/>
      <c r="F44" s="147"/>
      <c r="G44" s="147"/>
      <c r="H44" s="148"/>
      <c r="I44" s="81"/>
      <c r="J44"/>
      <c r="K44"/>
      <c r="L44"/>
      <c r="M44"/>
      <c r="N44"/>
      <c r="O44"/>
      <c r="P44"/>
      <c r="Q44"/>
    </row>
    <row r="45" spans="1:18" ht="17.25" thickTop="1" thickBot="1" x14ac:dyDescent="0.3">
      <c r="A45" s="2"/>
      <c r="B45" s="146" t="s">
        <v>106</v>
      </c>
      <c r="C45" s="147"/>
      <c r="D45" s="147"/>
      <c r="E45" s="147"/>
      <c r="F45" s="147"/>
      <c r="G45" s="147"/>
      <c r="H45" s="148"/>
      <c r="I45" s="81"/>
      <c r="J45"/>
      <c r="K45"/>
      <c r="L45"/>
      <c r="M45"/>
      <c r="N45"/>
      <c r="O45"/>
      <c r="P45"/>
      <c r="Q45"/>
    </row>
    <row r="46" spans="1:18" ht="17.25" thickTop="1" thickBot="1" x14ac:dyDescent="0.3">
      <c r="A46" s="2"/>
      <c r="B46" s="141"/>
      <c r="C46" s="142"/>
      <c r="D46" s="142"/>
      <c r="E46" s="142"/>
      <c r="F46" s="142"/>
      <c r="G46" s="142"/>
      <c r="H46" s="143"/>
      <c r="I46" s="81"/>
      <c r="J46"/>
      <c r="K46"/>
      <c r="L46"/>
      <c r="M46"/>
      <c r="N46"/>
      <c r="O46"/>
      <c r="P46"/>
      <c r="Q46"/>
    </row>
    <row r="47" spans="1:18" ht="17.25" thickTop="1" thickBot="1" x14ac:dyDescent="0.3">
      <c r="A47" s="2"/>
      <c r="B47" s="144"/>
      <c r="C47" s="142"/>
      <c r="D47" s="142"/>
      <c r="E47" s="142"/>
      <c r="F47" s="142"/>
      <c r="G47" s="142"/>
      <c r="H47" s="143"/>
      <c r="I47" s="81"/>
      <c r="J47"/>
      <c r="K47"/>
      <c r="L47"/>
      <c r="M47"/>
      <c r="N47"/>
      <c r="O47"/>
      <c r="P47"/>
      <c r="Q47"/>
    </row>
    <row r="48" spans="1:18" ht="25.5" thickTop="1" thickBot="1" x14ac:dyDescent="0.45">
      <c r="A48" s="2"/>
      <c r="B48" s="145" t="s">
        <v>107</v>
      </c>
      <c r="C48" s="145"/>
      <c r="D48" s="145"/>
      <c r="E48" s="145"/>
      <c r="F48" s="145"/>
      <c r="G48" s="145"/>
      <c r="H48" s="145"/>
      <c r="I48" s="80"/>
      <c r="J48"/>
      <c r="K48"/>
      <c r="L48"/>
      <c r="M48"/>
      <c r="N48"/>
      <c r="O48"/>
      <c r="P48"/>
      <c r="Q48"/>
    </row>
    <row r="49" spans="1:17" ht="17.25" thickTop="1" thickBot="1" x14ac:dyDescent="0.3">
      <c r="A49" s="2"/>
      <c r="B49" s="134" t="s">
        <v>116</v>
      </c>
      <c r="C49" s="135"/>
      <c r="D49" s="135"/>
      <c r="E49" s="135"/>
      <c r="F49" s="135"/>
      <c r="G49" s="135"/>
      <c r="H49" s="136"/>
      <c r="I49" s="96">
        <v>1.9699999999999999E-2</v>
      </c>
      <c r="J49"/>
      <c r="K49"/>
      <c r="L49"/>
      <c r="M49"/>
      <c r="N49"/>
      <c r="O49"/>
      <c r="P49"/>
      <c r="Q49"/>
    </row>
    <row r="50" spans="1:17" ht="17.25" thickTop="1" thickBot="1" x14ac:dyDescent="0.3">
      <c r="A50" s="2"/>
      <c r="B50" s="137" t="s">
        <v>117</v>
      </c>
      <c r="C50" s="138"/>
      <c r="D50" s="138"/>
      <c r="E50" s="138"/>
      <c r="F50" s="138"/>
      <c r="G50" s="138"/>
      <c r="H50" s="139"/>
      <c r="I50" s="79"/>
      <c r="J50"/>
      <c r="K50"/>
      <c r="L50"/>
      <c r="M50"/>
      <c r="N50"/>
      <c r="O50"/>
      <c r="P50"/>
      <c r="Q50"/>
    </row>
    <row r="51" spans="1:17" ht="17.25" thickTop="1" thickBot="1" x14ac:dyDescent="0.3">
      <c r="A51" s="2"/>
      <c r="B51" s="134" t="s">
        <v>118</v>
      </c>
      <c r="C51" s="135"/>
      <c r="D51" s="135"/>
      <c r="E51" s="135"/>
      <c r="F51" s="135"/>
      <c r="G51" s="135"/>
      <c r="H51" s="136"/>
      <c r="I51" s="79"/>
      <c r="J51"/>
      <c r="K51"/>
      <c r="L51"/>
      <c r="M51"/>
      <c r="N51"/>
      <c r="O51"/>
      <c r="P51"/>
      <c r="Q51"/>
    </row>
    <row r="52" spans="1:17" ht="17.25" thickTop="1" thickBot="1" x14ac:dyDescent="0.3">
      <c r="A52" s="2"/>
      <c r="B52" s="137" t="s">
        <v>119</v>
      </c>
      <c r="C52" s="138"/>
      <c r="D52" s="138"/>
      <c r="E52" s="138"/>
      <c r="F52" s="138"/>
      <c r="G52" s="138"/>
      <c r="H52" s="139"/>
      <c r="I52" s="79"/>
      <c r="J52"/>
      <c r="K52"/>
      <c r="L52"/>
      <c r="M52"/>
      <c r="N52"/>
      <c r="O52"/>
      <c r="P52"/>
      <c r="Q52"/>
    </row>
    <row r="53" spans="1:17" ht="17.25" thickTop="1" thickBot="1" x14ac:dyDescent="0.3">
      <c r="A53" s="2"/>
      <c r="B53" s="137" t="s">
        <v>120</v>
      </c>
      <c r="C53" s="138"/>
      <c r="D53" s="138"/>
      <c r="E53" s="138"/>
      <c r="F53" s="138"/>
      <c r="G53" s="138"/>
      <c r="H53" s="139"/>
      <c r="I53" s="79">
        <f>'TODOS 6 CALCULOS'!D26</f>
        <v>67</v>
      </c>
      <c r="J53"/>
      <c r="K53"/>
      <c r="L53"/>
      <c r="M53"/>
      <c r="N53"/>
      <c r="O53"/>
      <c r="P53"/>
      <c r="Q53"/>
    </row>
    <row r="54" spans="1:17" ht="17.25" thickTop="1" thickBot="1" x14ac:dyDescent="0.3">
      <c r="A54" s="2"/>
      <c r="B54" s="137" t="s">
        <v>121</v>
      </c>
      <c r="C54" s="138"/>
      <c r="D54" s="138"/>
      <c r="E54" s="138"/>
      <c r="F54" s="138"/>
      <c r="G54" s="138"/>
      <c r="H54" s="139"/>
      <c r="I54" s="79"/>
      <c r="J54"/>
      <c r="K54"/>
      <c r="L54"/>
      <c r="M54"/>
      <c r="N54"/>
      <c r="O54"/>
      <c r="P54"/>
      <c r="Q54"/>
    </row>
    <row r="55" spans="1:17" ht="17.25" thickTop="1" thickBot="1" x14ac:dyDescent="0.3">
      <c r="A55" s="2"/>
      <c r="B55" s="137" t="s">
        <v>122</v>
      </c>
      <c r="C55" s="138"/>
      <c r="D55" s="138"/>
      <c r="E55" s="138"/>
      <c r="F55" s="138"/>
      <c r="G55" s="138"/>
      <c r="H55" s="139"/>
      <c r="I55" s="79"/>
      <c r="J55"/>
      <c r="K55"/>
      <c r="L55"/>
      <c r="M55"/>
      <c r="N55"/>
      <c r="O55"/>
      <c r="P55"/>
      <c r="Q55"/>
    </row>
    <row r="56" spans="1:17" ht="17.25" thickTop="1" thickBot="1" x14ac:dyDescent="0.3">
      <c r="A56" s="2"/>
      <c r="B56" s="137" t="s">
        <v>106</v>
      </c>
      <c r="C56" s="138"/>
      <c r="D56" s="138"/>
      <c r="E56" s="138"/>
      <c r="F56" s="138"/>
      <c r="G56" s="138"/>
      <c r="H56" s="139"/>
      <c r="I56" s="79"/>
      <c r="J56"/>
      <c r="K56"/>
      <c r="L56"/>
      <c r="M56"/>
      <c r="N56"/>
      <c r="O56"/>
      <c r="P56"/>
      <c r="Q56"/>
    </row>
    <row r="57" spans="1:17" ht="17.25" thickTop="1" thickBot="1" x14ac:dyDescent="0.3">
      <c r="A57" s="2"/>
      <c r="B57" s="137"/>
      <c r="C57" s="138"/>
      <c r="D57" s="138"/>
      <c r="E57" s="138"/>
      <c r="F57" s="138"/>
      <c r="G57" s="138"/>
      <c r="H57" s="139"/>
      <c r="I57" s="79"/>
      <c r="J57"/>
      <c r="K57" s="43"/>
      <c r="L57" s="43"/>
      <c r="M57" s="43"/>
      <c r="N57" s="43"/>
      <c r="O57" s="43"/>
      <c r="P57" s="43"/>
      <c r="Q57" s="68"/>
    </row>
    <row r="58" spans="1:17" ht="15.75" thickTop="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17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17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1:17" ht="16.5" customHeight="1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1:17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1:17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1:17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1:17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1:17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1:17" ht="16.5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  <row r="68" spans="1:17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</row>
    <row r="69" spans="1:17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 spans="1:17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</row>
    <row r="71" spans="1:17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1:17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pans="1:17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4" spans="1:17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</row>
    <row r="75" spans="1:17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</row>
    <row r="76" spans="1:17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</row>
    <row r="77" spans="1:17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</row>
    <row r="78" spans="1:17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</row>
    <row r="79" spans="1:17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</row>
    <row r="80" spans="1:17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</sheetData>
  <mergeCells count="64">
    <mergeCell ref="B52:H52"/>
    <mergeCell ref="B10:E10"/>
    <mergeCell ref="F9:I9"/>
    <mergeCell ref="F7:I7"/>
    <mergeCell ref="B37:H37"/>
    <mergeCell ref="B2:I2"/>
    <mergeCell ref="F6:G6"/>
    <mergeCell ref="F10:I10"/>
    <mergeCell ref="B9:E9"/>
    <mergeCell ref="B3:E3"/>
    <mergeCell ref="B13:H13"/>
    <mergeCell ref="F3:I3"/>
    <mergeCell ref="F5:I5"/>
    <mergeCell ref="B8:E8"/>
    <mergeCell ref="F8:I8"/>
    <mergeCell ref="B5:E5"/>
    <mergeCell ref="B6:E6"/>
    <mergeCell ref="B7:E7"/>
    <mergeCell ref="B26:H26"/>
    <mergeCell ref="B12:H12"/>
    <mergeCell ref="B15:H15"/>
    <mergeCell ref="B16:H16"/>
    <mergeCell ref="B17:H17"/>
    <mergeCell ref="B18:H18"/>
    <mergeCell ref="B19:H19"/>
    <mergeCell ref="B20:H20"/>
    <mergeCell ref="B21:H21"/>
    <mergeCell ref="B14:H14"/>
    <mergeCell ref="B24:H24"/>
    <mergeCell ref="B53:H53"/>
    <mergeCell ref="B54:H54"/>
    <mergeCell ref="B55:H55"/>
    <mergeCell ref="B56:H56"/>
    <mergeCell ref="B57:H57"/>
    <mergeCell ref="B49:H49"/>
    <mergeCell ref="B50:H50"/>
    <mergeCell ref="B51:H51"/>
    <mergeCell ref="B38:I38"/>
    <mergeCell ref="B46:H46"/>
    <mergeCell ref="B47:H47"/>
    <mergeCell ref="B48:H48"/>
    <mergeCell ref="B39:H39"/>
    <mergeCell ref="B40:H40"/>
    <mergeCell ref="B41:H41"/>
    <mergeCell ref="B42:H42"/>
    <mergeCell ref="B43:H43"/>
    <mergeCell ref="B44:H44"/>
    <mergeCell ref="B45:H45"/>
    <mergeCell ref="B4:E4"/>
    <mergeCell ref="F4:I4"/>
    <mergeCell ref="B35:H35"/>
    <mergeCell ref="B36:H36"/>
    <mergeCell ref="B23:H23"/>
    <mergeCell ref="B28:H28"/>
    <mergeCell ref="B29:H29"/>
    <mergeCell ref="B30:H30"/>
    <mergeCell ref="B31:H31"/>
    <mergeCell ref="B32:H32"/>
    <mergeCell ref="B33:H33"/>
    <mergeCell ref="B34:H34"/>
    <mergeCell ref="B27:H27"/>
    <mergeCell ref="B25:H25"/>
    <mergeCell ref="B11:H11"/>
    <mergeCell ref="B22:H2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2800-8B1A-428F-AAE6-4EF7476A329F}">
  <dimension ref="A1:G11"/>
  <sheetViews>
    <sheetView workbookViewId="0">
      <selection activeCell="K27" sqref="K27"/>
    </sheetView>
  </sheetViews>
  <sheetFormatPr defaultRowHeight="15" x14ac:dyDescent="0.25"/>
  <sheetData>
    <row r="1" spans="1:7" ht="16.5" thickTop="1" thickBot="1" x14ac:dyDescent="0.3">
      <c r="A1" s="108"/>
      <c r="B1" s="171" t="s">
        <v>150</v>
      </c>
      <c r="C1" s="173" t="s">
        <v>151</v>
      </c>
      <c r="D1" s="173"/>
      <c r="E1" s="173" t="s">
        <v>152</v>
      </c>
      <c r="F1" s="173"/>
    </row>
    <row r="2" spans="1:7" ht="16.5" thickTop="1" thickBot="1" x14ac:dyDescent="0.3">
      <c r="A2" s="108"/>
      <c r="B2" s="172"/>
      <c r="C2" s="170">
        <f>'DADOS PARA PETIÇÃO INICIAL'!I11</f>
        <v>45148</v>
      </c>
      <c r="D2" s="170"/>
      <c r="E2" s="170">
        <v>46264</v>
      </c>
      <c r="F2" s="170"/>
    </row>
    <row r="3" spans="1:7" ht="16.5" thickTop="1" thickBot="1" x14ac:dyDescent="0.3">
      <c r="A3" s="108"/>
      <c r="B3" s="172"/>
      <c r="C3" s="109" t="s">
        <v>153</v>
      </c>
      <c r="D3" s="109" t="s">
        <v>154</v>
      </c>
      <c r="E3" s="109" t="s">
        <v>155</v>
      </c>
      <c r="F3" s="110"/>
    </row>
    <row r="4" spans="1:7" ht="16.5" thickTop="1" thickBot="1" x14ac:dyDescent="0.3">
      <c r="A4" s="108"/>
      <c r="B4" s="172"/>
      <c r="C4" s="111">
        <f>DATEDIF(C2,E2,"Y")</f>
        <v>3</v>
      </c>
      <c r="D4" s="111">
        <f>DATEDIF(C2,E2,"YM")</f>
        <v>0</v>
      </c>
      <c r="E4" s="111">
        <f>DATEDIF(C2,E2,"MD")</f>
        <v>20</v>
      </c>
      <c r="F4" s="110"/>
    </row>
    <row r="5" spans="1:7" ht="16.5" thickTop="1" thickBot="1" x14ac:dyDescent="0.3">
      <c r="A5" s="108"/>
      <c r="B5" s="110"/>
      <c r="C5" s="110"/>
      <c r="D5" s="112" t="s">
        <v>156</v>
      </c>
      <c r="E5" s="110"/>
      <c r="F5" s="110"/>
    </row>
    <row r="6" spans="1:7" ht="16.5" thickTop="1" thickBot="1" x14ac:dyDescent="0.3">
      <c r="A6" s="108"/>
      <c r="B6" s="110"/>
      <c r="C6" s="110"/>
      <c r="D6" s="113">
        <f>(C4*12)+D4</f>
        <v>36</v>
      </c>
      <c r="E6" s="110"/>
      <c r="F6" s="110"/>
    </row>
    <row r="7" spans="1:7" ht="16.5" thickTop="1" thickBot="1" x14ac:dyDescent="0.3">
      <c r="A7" s="108"/>
      <c r="B7" s="171" t="s">
        <v>157</v>
      </c>
      <c r="C7" s="173" t="s">
        <v>27</v>
      </c>
      <c r="D7" s="173"/>
      <c r="E7" s="173"/>
      <c r="F7" s="114">
        <v>72</v>
      </c>
      <c r="G7" s="115"/>
    </row>
    <row r="8" spans="1:7" ht="16.5" thickTop="1" thickBot="1" x14ac:dyDescent="0.3">
      <c r="B8" s="172"/>
      <c r="C8" s="174" t="s">
        <v>158</v>
      </c>
      <c r="D8" s="174"/>
      <c r="E8" s="174"/>
      <c r="F8" s="174"/>
    </row>
    <row r="9" spans="1:7" ht="16.5" thickTop="1" thickBot="1" x14ac:dyDescent="0.3">
      <c r="B9" s="172"/>
      <c r="C9" s="173" t="s">
        <v>159</v>
      </c>
      <c r="D9" s="173"/>
      <c r="E9" s="173" t="s">
        <v>160</v>
      </c>
      <c r="F9" s="173"/>
    </row>
    <row r="10" spans="1:7" ht="16.5" thickTop="1" thickBot="1" x14ac:dyDescent="0.3">
      <c r="B10" s="172"/>
      <c r="C10" s="170">
        <v>45148</v>
      </c>
      <c r="D10" s="170"/>
      <c r="E10" s="170">
        <f>EDATE(C10,F7)</f>
        <v>47340</v>
      </c>
      <c r="F10" s="170"/>
    </row>
    <row r="11" spans="1:7" ht="15.75" thickTop="1" x14ac:dyDescent="0.25"/>
  </sheetData>
  <mergeCells count="12">
    <mergeCell ref="C10:D10"/>
    <mergeCell ref="E10:F10"/>
    <mergeCell ref="B1:B4"/>
    <mergeCell ref="C1:D1"/>
    <mergeCell ref="E1:F1"/>
    <mergeCell ref="C2:D2"/>
    <mergeCell ref="E2:F2"/>
    <mergeCell ref="B7:B10"/>
    <mergeCell ref="C7:E7"/>
    <mergeCell ref="C8:F8"/>
    <mergeCell ref="C9:D9"/>
    <mergeCell ref="E9:F9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8A1A-96AD-4C3C-8022-D3A1694C5D85}">
  <dimension ref="A2:I54"/>
  <sheetViews>
    <sheetView showZeros="0" topLeftCell="A24" zoomScale="70" zoomScaleNormal="70" workbookViewId="0">
      <selection activeCell="B46" sqref="B46:D46"/>
    </sheetView>
  </sheetViews>
  <sheetFormatPr defaultRowHeight="15" x14ac:dyDescent="0.25"/>
  <cols>
    <col min="1" max="1" width="5.28515625" customWidth="1"/>
    <col min="2" max="2" width="12" style="11" customWidth="1"/>
    <col min="3" max="3" width="51.140625" style="11" customWidth="1"/>
    <col min="4" max="4" width="21.7109375" style="11" customWidth="1"/>
    <col min="5" max="5" width="6.42578125" style="11" customWidth="1"/>
    <col min="6" max="6" width="12.28515625" style="11" customWidth="1"/>
    <col min="7" max="7" width="10.140625" customWidth="1"/>
  </cols>
  <sheetData>
    <row r="2" spans="1:9" ht="24" x14ac:dyDescent="0.4">
      <c r="B2" s="175" t="s">
        <v>97</v>
      </c>
      <c r="C2" s="175"/>
      <c r="D2" s="175"/>
    </row>
    <row r="3" spans="1:9" ht="5.0999999999999996" customHeight="1" thickBot="1" x14ac:dyDescent="0.3">
      <c r="E3"/>
      <c r="F3"/>
    </row>
    <row r="4" spans="1:9" ht="28.5" thickTop="1" thickBot="1" x14ac:dyDescent="0.3">
      <c r="B4" s="178" t="s">
        <v>5</v>
      </c>
      <c r="C4" s="178"/>
      <c r="D4" s="178"/>
      <c r="E4"/>
      <c r="F4"/>
    </row>
    <row r="5" spans="1:9" ht="27.75" thickTop="1" thickBot="1" x14ac:dyDescent="0.3">
      <c r="B5" s="179" t="s">
        <v>6</v>
      </c>
      <c r="C5" s="179"/>
      <c r="D5" s="12">
        <f>'DADOS PARA PETIÇÃO INICIAL'!I20</f>
        <v>72</v>
      </c>
      <c r="E5"/>
      <c r="F5"/>
    </row>
    <row r="6" spans="1:9" ht="27.75" thickTop="1" thickBot="1" x14ac:dyDescent="0.3">
      <c r="B6" s="180" t="s">
        <v>10</v>
      </c>
      <c r="C6" s="180"/>
      <c r="D6" s="13">
        <f>RATE(D5,-D7,D8)</f>
        <v>2.0851286173794104E-2</v>
      </c>
      <c r="E6"/>
      <c r="F6"/>
      <c r="I6">
        <v>0</v>
      </c>
    </row>
    <row r="7" spans="1:9" ht="27.75" thickTop="1" thickBot="1" x14ac:dyDescent="0.3">
      <c r="B7" s="181" t="s">
        <v>8</v>
      </c>
      <c r="C7" s="181"/>
      <c r="D7" s="14">
        <f>'DADOS PARA PETIÇÃO INICIAL'!I21</f>
        <v>1221.3499999999999</v>
      </c>
      <c r="E7"/>
      <c r="F7"/>
    </row>
    <row r="8" spans="1:9" ht="24.75" thickTop="1" thickBot="1" x14ac:dyDescent="0.3">
      <c r="B8" s="182" t="s">
        <v>9</v>
      </c>
      <c r="C8" s="182"/>
      <c r="D8" s="15">
        <f>'DADOS PARA PETIÇÃO INICIAL'!J14</f>
        <v>45318.44</v>
      </c>
      <c r="E8"/>
      <c r="F8"/>
    </row>
    <row r="9" spans="1:9" ht="24" thickTop="1" x14ac:dyDescent="0.25">
      <c r="B9" s="66"/>
      <c r="C9" s="67"/>
      <c r="D9" s="67"/>
      <c r="E9"/>
      <c r="F9"/>
    </row>
    <row r="10" spans="1:9" ht="24.75" thickBot="1" x14ac:dyDescent="0.45">
      <c r="B10" s="175" t="s">
        <v>98</v>
      </c>
      <c r="C10" s="175"/>
      <c r="D10" s="175"/>
      <c r="E10"/>
      <c r="F10" s="73" t="s">
        <v>103</v>
      </c>
    </row>
    <row r="11" spans="1:9" ht="28.5" thickTop="1" thickBot="1" x14ac:dyDescent="0.3">
      <c r="B11" s="178" t="s">
        <v>5</v>
      </c>
      <c r="C11" s="178"/>
      <c r="D11" s="178"/>
      <c r="E11"/>
      <c r="F11" s="78">
        <f>D7</f>
        <v>1221.3499999999999</v>
      </c>
    </row>
    <row r="12" spans="1:9" ht="27.75" thickTop="1" thickBot="1" x14ac:dyDescent="0.3">
      <c r="B12" s="179" t="s">
        <v>6</v>
      </c>
      <c r="C12" s="179"/>
      <c r="D12" s="16">
        <f>'DADOS PARA PETIÇÃO INICIAL'!I20</f>
        <v>72</v>
      </c>
      <c r="E12"/>
      <c r="F12" s="73" t="s">
        <v>105</v>
      </c>
    </row>
    <row r="13" spans="1:9" ht="27.75" thickTop="1" thickBot="1" x14ac:dyDescent="0.3">
      <c r="B13" s="183" t="s">
        <v>39</v>
      </c>
      <c r="C13" s="184"/>
      <c r="D13" s="17">
        <f>'DADOS PARA PETIÇÃO INICIAL'!I22</f>
        <v>1.9699999999999999E-2</v>
      </c>
      <c r="E13"/>
      <c r="F13" s="77">
        <f>D14</f>
        <v>1183.2065436317491</v>
      </c>
      <c r="G13" s="73"/>
      <c r="H13" s="75"/>
    </row>
    <row r="14" spans="1:9" ht="27.75" thickTop="1" thickBot="1" x14ac:dyDescent="0.3">
      <c r="B14" s="181" t="s">
        <v>8</v>
      </c>
      <c r="C14" s="181"/>
      <c r="D14" s="119">
        <f>-PMT(D13,D12,D15)</f>
        <v>1183.2065436317491</v>
      </c>
      <c r="E14"/>
      <c r="F14" s="73" t="s">
        <v>15</v>
      </c>
      <c r="G14" s="74"/>
      <c r="H14" s="74"/>
    </row>
    <row r="15" spans="1:9" ht="24.75" thickTop="1" thickBot="1" x14ac:dyDescent="0.3">
      <c r="B15" s="182" t="s">
        <v>9</v>
      </c>
      <c r="C15" s="182"/>
      <c r="D15" s="18">
        <f>'DADOS PARA PETIÇÃO INICIAL'!J14</f>
        <v>45318.44</v>
      </c>
      <c r="E15"/>
      <c r="F15" s="78">
        <f>F11-F13</f>
        <v>38.143456368250781</v>
      </c>
      <c r="I15" s="76" t="s">
        <v>104</v>
      </c>
    </row>
    <row r="16" spans="1:9" ht="24" thickTop="1" x14ac:dyDescent="0.25">
      <c r="A16" s="68"/>
      <c r="B16" s="65"/>
      <c r="C16" s="69"/>
      <c r="D16" s="69"/>
      <c r="E16"/>
      <c r="F16"/>
    </row>
    <row r="17" spans="1:6" ht="24.75" thickBot="1" x14ac:dyDescent="0.3">
      <c r="A17" s="68"/>
      <c r="B17" s="176" t="s">
        <v>96</v>
      </c>
      <c r="C17" s="176"/>
      <c r="D17" s="176"/>
      <c r="E17"/>
      <c r="F17"/>
    </row>
    <row r="18" spans="1:6" ht="28.5" thickTop="1" thickBot="1" x14ac:dyDescent="0.3">
      <c r="B18" s="178" t="s">
        <v>5</v>
      </c>
      <c r="C18" s="178"/>
      <c r="D18" s="178"/>
      <c r="E18"/>
      <c r="F18"/>
    </row>
    <row r="19" spans="1:6" ht="27.75" thickTop="1" thickBot="1" x14ac:dyDescent="0.3">
      <c r="B19" s="179" t="s">
        <v>6</v>
      </c>
      <c r="C19" s="179"/>
      <c r="D19" s="19">
        <f>ROUND(NPER(D20,D21,-D22),0)</f>
        <v>67</v>
      </c>
      <c r="E19"/>
      <c r="F19"/>
    </row>
    <row r="20" spans="1:6" ht="27.75" thickTop="1" thickBot="1" x14ac:dyDescent="0.3">
      <c r="B20" s="183" t="s">
        <v>39</v>
      </c>
      <c r="C20" s="184"/>
      <c r="D20" s="17">
        <f>'DADOS PARA PETIÇÃO INICIAL'!I22</f>
        <v>1.9699999999999999E-2</v>
      </c>
      <c r="E20"/>
      <c r="F20"/>
    </row>
    <row r="21" spans="1:6" ht="27.75" thickTop="1" thickBot="1" x14ac:dyDescent="0.3">
      <c r="B21" s="181" t="s">
        <v>8</v>
      </c>
      <c r="C21" s="181"/>
      <c r="D21" s="20">
        <f>'DADOS PARA PETIÇÃO INICIAL'!I21</f>
        <v>1221.3499999999999</v>
      </c>
      <c r="E21"/>
      <c r="F21"/>
    </row>
    <row r="22" spans="1:6" ht="24.75" thickTop="1" thickBot="1" x14ac:dyDescent="0.3">
      <c r="B22" s="182" t="s">
        <v>9</v>
      </c>
      <c r="C22" s="182"/>
      <c r="D22" s="18">
        <f>'DADOS PARA PETIÇÃO INICIAL'!J14</f>
        <v>45318.44</v>
      </c>
      <c r="E22"/>
      <c r="F22"/>
    </row>
    <row r="23" spans="1:6" ht="24" thickTop="1" x14ac:dyDescent="0.25">
      <c r="A23" s="68"/>
      <c r="B23" s="65"/>
      <c r="C23" s="69"/>
      <c r="D23" s="69"/>
      <c r="E23"/>
      <c r="F23"/>
    </row>
    <row r="24" spans="1:6" ht="24.75" thickBot="1" x14ac:dyDescent="0.45">
      <c r="A24" s="68"/>
      <c r="B24" s="230" t="s">
        <v>99</v>
      </c>
      <c r="C24" s="177"/>
      <c r="D24" s="177"/>
      <c r="E24"/>
      <c r="F24"/>
    </row>
    <row r="25" spans="1:6" ht="28.5" thickTop="1" thickBot="1" x14ac:dyDescent="0.3">
      <c r="B25" s="178" t="s">
        <v>5</v>
      </c>
      <c r="C25" s="178"/>
      <c r="D25" s="178"/>
      <c r="E25"/>
      <c r="F25"/>
    </row>
    <row r="26" spans="1:6" ht="27.75" thickTop="1" thickBot="1" x14ac:dyDescent="0.3">
      <c r="B26" s="179" t="s">
        <v>6</v>
      </c>
      <c r="C26" s="179"/>
      <c r="D26" s="19">
        <f>ROUND(NPER(D27,D28,-D29),0)</f>
        <v>67</v>
      </c>
      <c r="E26"/>
      <c r="F26"/>
    </row>
    <row r="27" spans="1:6" ht="27.75" thickTop="1" thickBot="1" x14ac:dyDescent="0.3">
      <c r="B27" s="180" t="s">
        <v>38</v>
      </c>
      <c r="C27" s="180"/>
      <c r="D27" s="17">
        <v>1.9699999999999999E-2</v>
      </c>
      <c r="E27"/>
      <c r="F27"/>
    </row>
    <row r="28" spans="1:6" ht="27.75" thickTop="1" thickBot="1" x14ac:dyDescent="0.3">
      <c r="B28" s="181" t="s">
        <v>8</v>
      </c>
      <c r="C28" s="181"/>
      <c r="D28" s="20">
        <f>'DADOS PARA PETIÇÃO INICIAL'!I21</f>
        <v>1221.3499999999999</v>
      </c>
      <c r="E28"/>
      <c r="F28"/>
    </row>
    <row r="29" spans="1:6" ht="24.75" thickTop="1" thickBot="1" x14ac:dyDescent="0.3">
      <c r="B29" s="182" t="s">
        <v>9</v>
      </c>
      <c r="C29" s="182"/>
      <c r="D29" s="15">
        <f>'DADOS PARA PETIÇÃO INICIAL'!J14</f>
        <v>45318.44</v>
      </c>
      <c r="E29"/>
      <c r="F29"/>
    </row>
    <row r="30" spans="1:6" ht="24" customHeight="1" thickTop="1" x14ac:dyDescent="0.25">
      <c r="E30"/>
      <c r="F30" s="73" t="s">
        <v>103</v>
      </c>
    </row>
    <row r="31" spans="1:6" ht="24.75" thickBot="1" x14ac:dyDescent="0.45">
      <c r="B31" s="230" t="s">
        <v>100</v>
      </c>
      <c r="C31" s="230"/>
      <c r="D31" s="230"/>
      <c r="E31"/>
      <c r="F31" s="78">
        <f>D7</f>
        <v>1221.3499999999999</v>
      </c>
    </row>
    <row r="32" spans="1:6" ht="28.5" thickTop="1" thickBot="1" x14ac:dyDescent="0.3">
      <c r="B32" s="178" t="s">
        <v>5</v>
      </c>
      <c r="C32" s="178"/>
      <c r="D32" s="178"/>
      <c r="E32"/>
      <c r="F32" s="73" t="s">
        <v>105</v>
      </c>
    </row>
    <row r="33" spans="2:6" ht="27.75" thickTop="1" thickBot="1" x14ac:dyDescent="0.3">
      <c r="B33" s="179" t="s">
        <v>6</v>
      </c>
      <c r="C33" s="179"/>
      <c r="D33" s="12">
        <f>'DADOS PARA PETIÇÃO INICIAL'!I20</f>
        <v>72</v>
      </c>
      <c r="E33"/>
      <c r="F33" s="77">
        <f>D35</f>
        <v>1183.2065436317491</v>
      </c>
    </row>
    <row r="34" spans="2:6" ht="27.75" thickTop="1" thickBot="1" x14ac:dyDescent="0.3">
      <c r="B34" s="180" t="s">
        <v>38</v>
      </c>
      <c r="C34" s="180"/>
      <c r="D34" s="17">
        <v>1.9699999999999999E-2</v>
      </c>
      <c r="E34"/>
      <c r="F34" s="73" t="s">
        <v>15</v>
      </c>
    </row>
    <row r="35" spans="2:6" ht="27.75" thickTop="1" thickBot="1" x14ac:dyDescent="0.3">
      <c r="B35" s="181" t="s">
        <v>8</v>
      </c>
      <c r="C35" s="181"/>
      <c r="D35" s="21">
        <f>-PMT(D34,D33,D36)</f>
        <v>1183.2065436317491</v>
      </c>
      <c r="E35"/>
      <c r="F35" s="78">
        <f>F31-F33</f>
        <v>38.143456368250781</v>
      </c>
    </row>
    <row r="36" spans="2:6" ht="24.75" thickTop="1" thickBot="1" x14ac:dyDescent="0.3">
      <c r="B36" s="182" t="s">
        <v>9</v>
      </c>
      <c r="C36" s="182"/>
      <c r="D36" s="15">
        <f>'DADOS PARA PETIÇÃO INICIAL'!J14</f>
        <v>45318.44</v>
      </c>
      <c r="E36"/>
      <c r="F36"/>
    </row>
    <row r="37" spans="2:6" ht="15.75" thickTop="1" x14ac:dyDescent="0.25">
      <c r="E37"/>
      <c r="F37"/>
    </row>
    <row r="38" spans="2:6" x14ac:dyDescent="0.25">
      <c r="E38"/>
      <c r="F38"/>
    </row>
    <row r="39" spans="2:6" ht="24.75" thickBot="1" x14ac:dyDescent="0.45">
      <c r="B39" s="230" t="s">
        <v>101</v>
      </c>
      <c r="C39" s="230"/>
      <c r="D39" s="230"/>
      <c r="E39"/>
      <c r="F39"/>
    </row>
    <row r="40" spans="2:6" ht="28.5" thickTop="1" thickBot="1" x14ac:dyDescent="0.3">
      <c r="B40" s="178" t="s">
        <v>5</v>
      </c>
      <c r="C40" s="178"/>
      <c r="D40" s="178"/>
      <c r="E40"/>
      <c r="F40"/>
    </row>
    <row r="41" spans="2:6" ht="27.75" thickTop="1" thickBot="1" x14ac:dyDescent="0.3">
      <c r="B41" s="179" t="s">
        <v>6</v>
      </c>
      <c r="C41" s="179"/>
      <c r="D41" s="19">
        <f>ROUND(NPER(D42,D43,-D44),0)</f>
        <v>58</v>
      </c>
      <c r="E41"/>
      <c r="F41"/>
    </row>
    <row r="42" spans="2:6" ht="27.75" thickTop="1" thickBot="1" x14ac:dyDescent="0.3">
      <c r="B42" s="180" t="s">
        <v>7</v>
      </c>
      <c r="C42" s="180"/>
      <c r="D42" s="17">
        <f>'DADOS PARA PETIÇÃO INICIAL'!I39</f>
        <v>1.6400000000000001E-2</v>
      </c>
      <c r="E42"/>
      <c r="F42"/>
    </row>
    <row r="43" spans="2:6" ht="27.75" thickTop="1" thickBot="1" x14ac:dyDescent="0.3">
      <c r="B43" s="181" t="s">
        <v>8</v>
      </c>
      <c r="C43" s="181"/>
      <c r="D43" s="20">
        <f>'DADOS PARA PETIÇÃO INICIAL'!I21</f>
        <v>1221.3499999999999</v>
      </c>
      <c r="E43"/>
      <c r="F43"/>
    </row>
    <row r="44" spans="2:6" ht="24.75" thickTop="1" thickBot="1" x14ac:dyDescent="0.3">
      <c r="B44" s="182" t="s">
        <v>9</v>
      </c>
      <c r="C44" s="182"/>
      <c r="D44" s="15">
        <f>'DADOS PARA PETIÇÃO INICIAL'!J14</f>
        <v>45318.44</v>
      </c>
      <c r="E44"/>
      <c r="F44"/>
    </row>
    <row r="45" spans="2:6" ht="25.5" thickTop="1" x14ac:dyDescent="0.25">
      <c r="B45" s="70"/>
      <c r="C45" s="71"/>
      <c r="D45" s="71"/>
      <c r="E45"/>
      <c r="F45"/>
    </row>
    <row r="46" spans="2:6" ht="19.5" thickBot="1" x14ac:dyDescent="0.35">
      <c r="B46" s="231" t="s">
        <v>102</v>
      </c>
      <c r="C46" s="231"/>
      <c r="D46" s="231"/>
      <c r="E46"/>
      <c r="F46" s="73" t="s">
        <v>103</v>
      </c>
    </row>
    <row r="47" spans="2:6" ht="28.5" thickTop="1" thickBot="1" x14ac:dyDescent="0.3">
      <c r="B47" s="178" t="s">
        <v>5</v>
      </c>
      <c r="C47" s="178"/>
      <c r="D47" s="178"/>
      <c r="E47"/>
      <c r="F47" s="78">
        <f>D43</f>
        <v>1221.3499999999999</v>
      </c>
    </row>
    <row r="48" spans="2:6" ht="27.75" thickTop="1" thickBot="1" x14ac:dyDescent="0.3">
      <c r="B48" s="179" t="s">
        <v>6</v>
      </c>
      <c r="C48" s="179"/>
      <c r="D48" s="53">
        <f>'DADOS PARA PETIÇÃO INICIAL'!I20</f>
        <v>72</v>
      </c>
      <c r="E48"/>
      <c r="F48" s="73" t="s">
        <v>105</v>
      </c>
    </row>
    <row r="49" spans="2:8" ht="27.75" thickTop="1" thickBot="1" x14ac:dyDescent="0.3">
      <c r="B49" s="180" t="s">
        <v>11</v>
      </c>
      <c r="C49" s="180"/>
      <c r="D49" s="17">
        <v>1.6400000000000001E-2</v>
      </c>
      <c r="E49"/>
      <c r="F49" s="77">
        <f>D50</f>
        <v>1077.1150463009665</v>
      </c>
      <c r="G49" s="73"/>
      <c r="H49" s="75"/>
    </row>
    <row r="50" spans="2:8" ht="27.75" thickTop="1" thickBot="1" x14ac:dyDescent="0.3">
      <c r="B50" s="181" t="s">
        <v>8</v>
      </c>
      <c r="C50" s="181"/>
      <c r="D50" s="21">
        <f>-PMT(D49,D48,D51)</f>
        <v>1077.1150463009665</v>
      </c>
      <c r="E50"/>
      <c r="F50" s="73" t="s">
        <v>15</v>
      </c>
      <c r="G50" s="74"/>
      <c r="H50" s="74"/>
    </row>
    <row r="51" spans="2:8" ht="24.75" thickTop="1" thickBot="1" x14ac:dyDescent="0.3">
      <c r="B51" s="182" t="s">
        <v>9</v>
      </c>
      <c r="C51" s="182"/>
      <c r="D51" s="15">
        <f>'DADOS PARA PETIÇÃO INICIAL'!J14</f>
        <v>45318.44</v>
      </c>
      <c r="E51"/>
      <c r="F51" s="72">
        <f>F47-F49</f>
        <v>144.23495369903344</v>
      </c>
    </row>
    <row r="52" spans="2:8" ht="15.75" thickTop="1" x14ac:dyDescent="0.25">
      <c r="E52"/>
      <c r="F52"/>
    </row>
    <row r="53" spans="2:8" x14ac:dyDescent="0.25">
      <c r="E53"/>
      <c r="F53"/>
    </row>
    <row r="54" spans="2:8" x14ac:dyDescent="0.25">
      <c r="E54"/>
      <c r="F54"/>
    </row>
  </sheetData>
  <mergeCells count="42">
    <mergeCell ref="B51:C51"/>
    <mergeCell ref="B46:D46"/>
    <mergeCell ref="B47:D47"/>
    <mergeCell ref="B48:C48"/>
    <mergeCell ref="B49:C49"/>
    <mergeCell ref="B50:C50"/>
    <mergeCell ref="B40:D40"/>
    <mergeCell ref="B41:C41"/>
    <mergeCell ref="B42:C42"/>
    <mergeCell ref="B43:C43"/>
    <mergeCell ref="B44:C44"/>
    <mergeCell ref="B33:C33"/>
    <mergeCell ref="B34:C34"/>
    <mergeCell ref="B35:C35"/>
    <mergeCell ref="B36:C36"/>
    <mergeCell ref="B39:D39"/>
    <mergeCell ref="B26:C26"/>
    <mergeCell ref="B27:C27"/>
    <mergeCell ref="B28:C28"/>
    <mergeCell ref="B29:C29"/>
    <mergeCell ref="B32:D32"/>
    <mergeCell ref="B19:C19"/>
    <mergeCell ref="B20:C20"/>
    <mergeCell ref="B21:C21"/>
    <mergeCell ref="B22:C22"/>
    <mergeCell ref="B25:D25"/>
    <mergeCell ref="B2:D2"/>
    <mergeCell ref="B10:D10"/>
    <mergeCell ref="B17:D17"/>
    <mergeCell ref="B24:D24"/>
    <mergeCell ref="B31:D31"/>
    <mergeCell ref="B4:D4"/>
    <mergeCell ref="B5:C5"/>
    <mergeCell ref="B6:C6"/>
    <mergeCell ref="B7:C7"/>
    <mergeCell ref="B8:C8"/>
    <mergeCell ref="B11:D11"/>
    <mergeCell ref="B12:C12"/>
    <mergeCell ref="B13:C13"/>
    <mergeCell ref="B14:C14"/>
    <mergeCell ref="B15:C15"/>
    <mergeCell ref="B18:D1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1DE08-13F2-4E46-B430-9EFB6FFDEC9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3035E-E601-4D57-8982-4C820CFBF22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DF33-128D-4803-A697-6215553273B5}">
  <dimension ref="A1:J45"/>
  <sheetViews>
    <sheetView zoomScale="120" zoomScaleNormal="120" workbookViewId="0">
      <selection activeCell="H10" sqref="H10"/>
    </sheetView>
  </sheetViews>
  <sheetFormatPr defaultRowHeight="15" x14ac:dyDescent="0.25"/>
  <cols>
    <col min="1" max="1" width="2.28515625" customWidth="1"/>
    <col min="2" max="2" width="11.28515625" customWidth="1"/>
    <col min="3" max="3" width="13.140625" customWidth="1"/>
    <col min="4" max="4" width="29.28515625" customWidth="1"/>
    <col min="5" max="5" width="6.42578125" customWidth="1"/>
    <col min="6" max="6" width="12.28515625" customWidth="1"/>
    <col min="7" max="7" width="19.140625" customWidth="1"/>
  </cols>
  <sheetData>
    <row r="1" spans="1:10" ht="21" thickTop="1" x14ac:dyDescent="0.3">
      <c r="B1" s="186" t="s">
        <v>114</v>
      </c>
      <c r="C1" s="187"/>
      <c r="D1" s="187"/>
      <c r="E1" s="187"/>
      <c r="F1" s="187"/>
      <c r="G1" s="188"/>
      <c r="H1" s="91"/>
    </row>
    <row r="2" spans="1:10" ht="20.25" x14ac:dyDescent="0.3">
      <c r="A2" s="88"/>
      <c r="B2" s="189" t="s">
        <v>16</v>
      </c>
      <c r="C2" s="190"/>
      <c r="D2" s="191" t="s">
        <v>17</v>
      </c>
      <c r="E2" s="191"/>
      <c r="F2" s="191"/>
      <c r="G2" s="192"/>
      <c r="H2" s="91"/>
    </row>
    <row r="3" spans="1:10" ht="20.25" x14ac:dyDescent="0.3">
      <c r="A3" s="89"/>
      <c r="B3" s="193" t="s">
        <v>18</v>
      </c>
      <c r="C3" s="194"/>
      <c r="D3" s="86">
        <f>'DADOS PARA PETIÇÃO INICIAL'!F6</f>
        <v>45148</v>
      </c>
      <c r="E3" s="207" t="s">
        <v>42</v>
      </c>
      <c r="F3" s="208"/>
      <c r="G3" s="90">
        <f>'DADOS PARA PETIÇÃO INICIAL'!I6</f>
        <v>0</v>
      </c>
    </row>
    <row r="4" spans="1:10" ht="18" x14ac:dyDescent="0.25">
      <c r="A4" s="88"/>
      <c r="B4" s="195" t="s">
        <v>19</v>
      </c>
      <c r="C4" s="196"/>
      <c r="D4" s="197" t="s">
        <v>20</v>
      </c>
      <c r="E4" s="197"/>
      <c r="F4" s="197"/>
      <c r="G4" s="198"/>
    </row>
    <row r="5" spans="1:10" ht="15.75" thickBot="1" x14ac:dyDescent="0.3">
      <c r="B5" s="87" t="s">
        <v>21</v>
      </c>
      <c r="C5" s="87" t="s">
        <v>22</v>
      </c>
      <c r="D5" s="199" t="s">
        <v>23</v>
      </c>
      <c r="E5" s="200"/>
      <c r="F5" s="87" t="s">
        <v>24</v>
      </c>
      <c r="G5" s="87" t="s">
        <v>25</v>
      </c>
    </row>
    <row r="6" spans="1:10" ht="16.5" thickTop="1" thickBot="1" x14ac:dyDescent="0.3">
      <c r="A6" s="82"/>
      <c r="B6" s="83"/>
      <c r="C6" s="85"/>
      <c r="D6" s="201"/>
      <c r="E6" s="202"/>
      <c r="F6" s="83"/>
      <c r="G6" s="83"/>
      <c r="I6" s="185"/>
      <c r="J6" s="185"/>
    </row>
    <row r="7" spans="1:10" ht="15" customHeight="1" thickTop="1" thickBot="1" x14ac:dyDescent="0.3">
      <c r="B7" s="92">
        <v>1</v>
      </c>
      <c r="C7" s="92">
        <v>416968</v>
      </c>
      <c r="D7" s="203" t="s">
        <v>55</v>
      </c>
      <c r="E7" s="204"/>
      <c r="F7" s="92">
        <v>1.59</v>
      </c>
      <c r="G7" s="92">
        <v>20.89</v>
      </c>
    </row>
    <row r="8" spans="1:10" ht="15" customHeight="1" thickTop="1" thickBot="1" x14ac:dyDescent="0.3">
      <c r="B8" s="92">
        <v>2</v>
      </c>
      <c r="C8" s="92">
        <v>4902979</v>
      </c>
      <c r="D8" s="203" t="s">
        <v>56</v>
      </c>
      <c r="E8" s="204"/>
      <c r="F8" s="92">
        <v>1.64</v>
      </c>
      <c r="G8" s="92">
        <v>21.55</v>
      </c>
    </row>
    <row r="9" spans="1:10" ht="15" customHeight="1" thickTop="1" thickBot="1" x14ac:dyDescent="0.3">
      <c r="B9" s="92">
        <v>3</v>
      </c>
      <c r="C9" s="92">
        <v>92764489</v>
      </c>
      <c r="D9" s="203" t="s">
        <v>57</v>
      </c>
      <c r="E9" s="204"/>
      <c r="F9" s="92">
        <v>1.65</v>
      </c>
      <c r="G9" s="92">
        <v>21.74</v>
      </c>
      <c r="J9" s="82"/>
    </row>
    <row r="10" spans="1:10" ht="15" customHeight="1" thickTop="1" thickBot="1" x14ac:dyDescent="0.3">
      <c r="B10" s="92">
        <v>4</v>
      </c>
      <c r="C10" s="92">
        <v>92702067</v>
      </c>
      <c r="D10" s="203" t="s">
        <v>58</v>
      </c>
      <c r="E10" s="204"/>
      <c r="F10" s="92">
        <v>1.66</v>
      </c>
      <c r="G10" s="92">
        <v>21.82</v>
      </c>
    </row>
    <row r="11" spans="1:10" ht="15" customHeight="1" thickTop="1" thickBot="1" x14ac:dyDescent="0.3">
      <c r="B11" s="92">
        <v>5</v>
      </c>
      <c r="C11" s="92">
        <v>17167412</v>
      </c>
      <c r="D11" s="203" t="s">
        <v>59</v>
      </c>
      <c r="E11" s="204"/>
      <c r="F11" s="92">
        <v>1.69</v>
      </c>
      <c r="G11" s="92">
        <v>22.25</v>
      </c>
    </row>
    <row r="12" spans="1:10" ht="15" customHeight="1" thickTop="1" thickBot="1" x14ac:dyDescent="0.3">
      <c r="B12" s="92">
        <v>6</v>
      </c>
      <c r="C12" s="92">
        <v>208</v>
      </c>
      <c r="D12" s="203" t="s">
        <v>60</v>
      </c>
      <c r="E12" s="204"/>
      <c r="F12" s="92">
        <v>1.72</v>
      </c>
      <c r="G12" s="92">
        <v>22.7</v>
      </c>
    </row>
    <row r="13" spans="1:10" ht="15" customHeight="1" thickTop="1" thickBot="1" x14ac:dyDescent="0.3">
      <c r="B13" s="92">
        <v>7</v>
      </c>
      <c r="C13" s="92">
        <v>2038232</v>
      </c>
      <c r="D13" s="203" t="s">
        <v>61</v>
      </c>
      <c r="E13" s="204"/>
      <c r="F13" s="92">
        <v>1.77</v>
      </c>
      <c r="G13" s="92">
        <v>23.36</v>
      </c>
      <c r="J13" s="82"/>
    </row>
    <row r="14" spans="1:10" ht="15" customHeight="1" thickTop="1" thickBot="1" x14ac:dyDescent="0.3">
      <c r="B14" s="92">
        <v>8</v>
      </c>
      <c r="C14" s="92">
        <v>62232889</v>
      </c>
      <c r="D14" s="203" t="s">
        <v>62</v>
      </c>
      <c r="E14" s="204"/>
      <c r="F14" s="92">
        <v>1.79</v>
      </c>
      <c r="G14" s="92">
        <v>23.75</v>
      </c>
    </row>
    <row r="15" spans="1:10" ht="15" customHeight="1" thickTop="1" thickBot="1" x14ac:dyDescent="0.3">
      <c r="B15" s="92">
        <v>9</v>
      </c>
      <c r="C15" s="92">
        <v>54403563</v>
      </c>
      <c r="D15" s="205" t="s">
        <v>63</v>
      </c>
      <c r="E15" s="206"/>
      <c r="F15" s="92">
        <v>1.81</v>
      </c>
      <c r="G15" s="92">
        <v>24.08</v>
      </c>
    </row>
    <row r="16" spans="1:10" ht="15" customHeight="1" thickTop="1" thickBot="1" x14ac:dyDescent="0.3">
      <c r="B16" s="92">
        <v>10</v>
      </c>
      <c r="C16" s="92">
        <v>360305</v>
      </c>
      <c r="D16" s="203" t="s">
        <v>64</v>
      </c>
      <c r="E16" s="204"/>
      <c r="F16" s="92">
        <v>1.82</v>
      </c>
      <c r="G16" s="92">
        <v>24.15</v>
      </c>
    </row>
    <row r="17" spans="2:7" ht="15" customHeight="1" thickTop="1" thickBot="1" x14ac:dyDescent="0.3">
      <c r="B17" s="92">
        <v>11</v>
      </c>
      <c r="C17" s="92">
        <v>7207996</v>
      </c>
      <c r="D17" s="203" t="s">
        <v>65</v>
      </c>
      <c r="E17" s="204"/>
      <c r="F17" s="92">
        <v>1.82</v>
      </c>
      <c r="G17" s="92">
        <v>24.16</v>
      </c>
    </row>
    <row r="18" spans="2:7" ht="15" customHeight="1" thickTop="1" thickBot="1" x14ac:dyDescent="0.3">
      <c r="B18" s="92">
        <v>12</v>
      </c>
      <c r="C18" s="92">
        <v>58160789</v>
      </c>
      <c r="D18" s="203" t="s">
        <v>66</v>
      </c>
      <c r="E18" s="204"/>
      <c r="F18" s="92">
        <v>1.83</v>
      </c>
      <c r="G18" s="92">
        <v>24.35</v>
      </c>
    </row>
    <row r="19" spans="2:7" ht="15" customHeight="1" thickTop="1" thickBot="1" x14ac:dyDescent="0.3">
      <c r="B19" s="92">
        <v>13</v>
      </c>
      <c r="C19" s="92">
        <v>3311443</v>
      </c>
      <c r="D19" s="203" t="s">
        <v>67</v>
      </c>
      <c r="E19" s="204"/>
      <c r="F19" s="23">
        <v>1.84</v>
      </c>
      <c r="G19" s="23">
        <v>24.48</v>
      </c>
    </row>
    <row r="20" spans="2:7" ht="15" customHeight="1" thickTop="1" thickBot="1" x14ac:dyDescent="0.3">
      <c r="B20" s="92">
        <v>14</v>
      </c>
      <c r="C20" s="92">
        <v>556603</v>
      </c>
      <c r="D20" s="203" t="s">
        <v>68</v>
      </c>
      <c r="E20" s="204"/>
      <c r="F20" s="23">
        <v>1.86</v>
      </c>
      <c r="G20" s="23">
        <v>24.68</v>
      </c>
    </row>
    <row r="21" spans="2:7" ht="15" customHeight="1" thickTop="1" thickBot="1" x14ac:dyDescent="0.3">
      <c r="B21" s="92">
        <v>15</v>
      </c>
      <c r="C21" s="92">
        <v>558456</v>
      </c>
      <c r="D21" s="203" t="s">
        <v>69</v>
      </c>
      <c r="E21" s="204"/>
      <c r="F21" s="23">
        <v>1.87</v>
      </c>
      <c r="G21" s="23">
        <v>24.88</v>
      </c>
    </row>
    <row r="22" spans="2:7" ht="15" customHeight="1" thickTop="1" thickBot="1" x14ac:dyDescent="0.3">
      <c r="B22" s="92">
        <v>16</v>
      </c>
      <c r="C22" s="92">
        <v>71371686</v>
      </c>
      <c r="D22" s="203" t="s">
        <v>70</v>
      </c>
      <c r="E22" s="204"/>
      <c r="F22" s="23">
        <v>1.88</v>
      </c>
      <c r="G22" s="23">
        <v>25.06</v>
      </c>
    </row>
    <row r="23" spans="2:7" ht="15" customHeight="1" thickTop="1" thickBot="1" x14ac:dyDescent="0.3">
      <c r="B23" s="92">
        <v>17</v>
      </c>
      <c r="C23" s="92">
        <v>90400888</v>
      </c>
      <c r="D23" s="203" t="s">
        <v>71</v>
      </c>
      <c r="E23" s="204"/>
      <c r="F23" s="23">
        <v>1.91</v>
      </c>
      <c r="G23" s="23">
        <v>25.45</v>
      </c>
    </row>
    <row r="24" spans="2:7" ht="15" customHeight="1" thickTop="1" thickBot="1" x14ac:dyDescent="0.3">
      <c r="B24" s="92">
        <v>18</v>
      </c>
      <c r="C24" s="92">
        <v>60746948</v>
      </c>
      <c r="D24" s="203" t="s">
        <v>72</v>
      </c>
      <c r="E24" s="204"/>
      <c r="F24" s="23">
        <v>1.91</v>
      </c>
      <c r="G24" s="23">
        <v>25.54</v>
      </c>
    </row>
    <row r="25" spans="2:7" ht="15" customHeight="1" thickTop="1" thickBot="1" x14ac:dyDescent="0.3">
      <c r="B25" s="92">
        <v>19</v>
      </c>
      <c r="C25" s="92">
        <v>0</v>
      </c>
      <c r="D25" s="203" t="s">
        <v>73</v>
      </c>
      <c r="E25" s="204"/>
      <c r="F25" s="23">
        <v>1.95</v>
      </c>
      <c r="G25" s="23">
        <v>26.06</v>
      </c>
    </row>
    <row r="26" spans="2:7" ht="15" customHeight="1" thickTop="1" thickBot="1" x14ac:dyDescent="0.3">
      <c r="B26" s="92">
        <v>20</v>
      </c>
      <c r="C26" s="92">
        <v>14388334</v>
      </c>
      <c r="D26" s="203" t="s">
        <v>74</v>
      </c>
      <c r="E26" s="204"/>
      <c r="F26" s="23">
        <v>1.96</v>
      </c>
      <c r="G26" s="23">
        <v>26.22</v>
      </c>
    </row>
    <row r="27" spans="2:7" ht="15" customHeight="1" thickTop="1" thickBot="1" x14ac:dyDescent="0.3">
      <c r="B27" s="92">
        <v>21</v>
      </c>
      <c r="C27" s="92">
        <v>60701190</v>
      </c>
      <c r="D27" s="203" t="s">
        <v>75</v>
      </c>
      <c r="E27" s="204"/>
      <c r="F27" s="23">
        <v>1.97</v>
      </c>
      <c r="G27" s="23">
        <v>26.34</v>
      </c>
    </row>
    <row r="28" spans="2:7" ht="15" customHeight="1" thickTop="1" thickBot="1" x14ac:dyDescent="0.3">
      <c r="B28" s="92">
        <v>22</v>
      </c>
      <c r="C28" s="92">
        <v>5676026</v>
      </c>
      <c r="D28" s="203" t="s">
        <v>76</v>
      </c>
      <c r="E28" s="204"/>
      <c r="F28" s="23">
        <v>1.98</v>
      </c>
      <c r="G28" s="23">
        <v>26.58</v>
      </c>
    </row>
    <row r="29" spans="2:7" ht="15" customHeight="1" thickTop="1" thickBot="1" x14ac:dyDescent="0.3">
      <c r="B29" s="92">
        <v>23</v>
      </c>
      <c r="C29" s="92">
        <v>33040601</v>
      </c>
      <c r="D29" s="203" t="s">
        <v>77</v>
      </c>
      <c r="E29" s="204"/>
      <c r="F29" s="23">
        <v>1.99</v>
      </c>
      <c r="G29" s="23">
        <v>26.73</v>
      </c>
    </row>
    <row r="30" spans="2:7" ht="15" customHeight="1" thickTop="1" thickBot="1" x14ac:dyDescent="0.3">
      <c r="B30" s="92">
        <v>24</v>
      </c>
      <c r="C30" s="92">
        <v>33885724</v>
      </c>
      <c r="D30" s="203" t="s">
        <v>78</v>
      </c>
      <c r="E30" s="204"/>
      <c r="F30" s="23">
        <v>1.99</v>
      </c>
      <c r="G30" s="23">
        <v>26.73</v>
      </c>
    </row>
    <row r="31" spans="2:7" ht="15" customHeight="1" thickTop="1" thickBot="1" x14ac:dyDescent="0.3">
      <c r="B31" s="92">
        <v>25</v>
      </c>
      <c r="C31" s="92">
        <v>61186680</v>
      </c>
      <c r="D31" s="203" t="s">
        <v>79</v>
      </c>
      <c r="E31" s="204"/>
      <c r="F31" s="23">
        <v>2.0099999999999998</v>
      </c>
      <c r="G31" s="23">
        <v>26.93</v>
      </c>
    </row>
    <row r="32" spans="2:7" ht="15" customHeight="1" thickTop="1" thickBot="1" x14ac:dyDescent="0.3">
      <c r="B32" s="92">
        <v>26</v>
      </c>
      <c r="C32" s="92">
        <v>59285411</v>
      </c>
      <c r="D32" s="203" t="s">
        <v>80</v>
      </c>
      <c r="E32" s="204"/>
      <c r="F32" s="23">
        <v>2.02</v>
      </c>
      <c r="G32" s="23">
        <v>27.19</v>
      </c>
    </row>
    <row r="33" spans="2:7" ht="15" customHeight="1" thickTop="1" thickBot="1" x14ac:dyDescent="0.3">
      <c r="B33" s="92">
        <v>27</v>
      </c>
      <c r="C33" s="92">
        <v>10664513</v>
      </c>
      <c r="D33" s="203" t="s">
        <v>81</v>
      </c>
      <c r="E33" s="204"/>
      <c r="F33" s="23">
        <v>2.0299999999999998</v>
      </c>
      <c r="G33" s="23">
        <v>27.26</v>
      </c>
    </row>
    <row r="34" spans="2:7" ht="15" customHeight="1" thickTop="1" thickBot="1" x14ac:dyDescent="0.3">
      <c r="B34" s="92">
        <v>28</v>
      </c>
      <c r="C34" s="92">
        <v>11760553</v>
      </c>
      <c r="D34" s="203" t="s">
        <v>82</v>
      </c>
      <c r="E34" s="204"/>
      <c r="F34" s="23">
        <v>2.04</v>
      </c>
      <c r="G34" s="23">
        <v>27.37</v>
      </c>
    </row>
    <row r="35" spans="2:7" ht="15" customHeight="1" thickTop="1" thickBot="1" x14ac:dyDescent="0.3">
      <c r="B35" s="92">
        <v>29</v>
      </c>
      <c r="C35" s="92">
        <v>31895683</v>
      </c>
      <c r="D35" s="203" t="s">
        <v>83</v>
      </c>
      <c r="E35" s="204"/>
      <c r="F35" s="23">
        <v>2.04</v>
      </c>
      <c r="G35" s="23">
        <v>27.48</v>
      </c>
    </row>
    <row r="36" spans="2:7" ht="15" customHeight="1" thickTop="1" thickBot="1" x14ac:dyDescent="0.3">
      <c r="B36" s="92">
        <v>30</v>
      </c>
      <c r="C36" s="92">
        <v>7237373</v>
      </c>
      <c r="D36" s="203" t="s">
        <v>84</v>
      </c>
      <c r="E36" s="204"/>
      <c r="F36" s="23">
        <v>2.04</v>
      </c>
      <c r="G36" s="23">
        <v>27.49</v>
      </c>
    </row>
    <row r="37" spans="2:7" ht="15" customHeight="1" thickTop="1" thickBot="1" x14ac:dyDescent="0.3">
      <c r="B37" s="92">
        <v>31</v>
      </c>
      <c r="C37" s="92">
        <v>28127603</v>
      </c>
      <c r="D37" s="203" t="s">
        <v>85</v>
      </c>
      <c r="E37" s="204"/>
      <c r="F37" s="23">
        <v>2.0499999999999998</v>
      </c>
      <c r="G37" s="23">
        <v>27.51</v>
      </c>
    </row>
    <row r="38" spans="2:7" ht="15" customHeight="1" thickTop="1" thickBot="1" x14ac:dyDescent="0.3">
      <c r="B38" s="92">
        <v>32</v>
      </c>
      <c r="C38" s="92">
        <v>17184037</v>
      </c>
      <c r="D38" s="203" t="s">
        <v>86</v>
      </c>
      <c r="E38" s="204"/>
      <c r="F38" s="23">
        <v>2.06</v>
      </c>
      <c r="G38" s="23">
        <v>27.73</v>
      </c>
    </row>
    <row r="39" spans="2:7" ht="15" customHeight="1" thickTop="1" thickBot="1" x14ac:dyDescent="0.3">
      <c r="B39" s="92">
        <v>33</v>
      </c>
      <c r="C39" s="92">
        <v>59588111</v>
      </c>
      <c r="D39" s="203" t="s">
        <v>87</v>
      </c>
      <c r="E39" s="204"/>
      <c r="F39" s="23">
        <v>2.08</v>
      </c>
      <c r="G39" s="23">
        <v>28.09</v>
      </c>
    </row>
    <row r="40" spans="2:7" ht="15" customHeight="1" thickTop="1" thickBot="1" x14ac:dyDescent="0.3">
      <c r="B40" s="92">
        <v>34</v>
      </c>
      <c r="C40" s="92">
        <v>27098060</v>
      </c>
      <c r="D40" s="203" t="s">
        <v>88</v>
      </c>
      <c r="E40" s="204"/>
      <c r="F40" s="23">
        <v>2.09</v>
      </c>
      <c r="G40" s="23">
        <v>28.23</v>
      </c>
    </row>
    <row r="41" spans="2:7" ht="15" customHeight="1" thickTop="1" thickBot="1" x14ac:dyDescent="0.3">
      <c r="B41" s="92">
        <v>35</v>
      </c>
      <c r="C41" s="92">
        <v>15581638</v>
      </c>
      <c r="D41" s="203" t="s">
        <v>89</v>
      </c>
      <c r="E41" s="204"/>
      <c r="F41" s="23">
        <v>2.11</v>
      </c>
      <c r="G41" s="23">
        <v>28.51</v>
      </c>
    </row>
    <row r="42" spans="2:7" ht="15" customHeight="1" thickTop="1" thickBot="1" x14ac:dyDescent="0.3">
      <c r="B42" s="92">
        <v>36</v>
      </c>
      <c r="C42" s="92">
        <v>92874270</v>
      </c>
      <c r="D42" s="203" t="s">
        <v>90</v>
      </c>
      <c r="E42" s="204"/>
      <c r="F42" s="23">
        <v>2.12</v>
      </c>
      <c r="G42" s="23">
        <v>28.59</v>
      </c>
    </row>
    <row r="43" spans="2:7" ht="15" customHeight="1" thickTop="1" thickBot="1" x14ac:dyDescent="0.3">
      <c r="B43" s="92">
        <v>37</v>
      </c>
      <c r="C43" s="92">
        <v>5192316</v>
      </c>
      <c r="D43" s="203" t="s">
        <v>91</v>
      </c>
      <c r="E43" s="204"/>
      <c r="F43" s="23">
        <v>2.12</v>
      </c>
      <c r="G43" s="23">
        <v>28.61</v>
      </c>
    </row>
    <row r="44" spans="2:7" ht="17.25" thickTop="1" thickBot="1" x14ac:dyDescent="0.3">
      <c r="B44" s="24"/>
      <c r="C44" s="24"/>
      <c r="D44" s="209"/>
      <c r="E44" s="210"/>
      <c r="F44" s="84">
        <v>1.6400000000000001E-2</v>
      </c>
      <c r="G44" s="24"/>
    </row>
    <row r="45" spans="2:7" ht="15.75" thickTop="1" x14ac:dyDescent="0.25"/>
  </sheetData>
  <mergeCells count="48">
    <mergeCell ref="D17:E17"/>
    <mergeCell ref="D18:E18"/>
    <mergeCell ref="D22:E22"/>
    <mergeCell ref="D23:E23"/>
    <mergeCell ref="E3:F3"/>
    <mergeCell ref="D44:E44"/>
    <mergeCell ref="D42:E42"/>
    <mergeCell ref="D43:E43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9:E29"/>
    <mergeCell ref="D30:E30"/>
    <mergeCell ref="D31:E31"/>
    <mergeCell ref="D12:E12"/>
    <mergeCell ref="D13:E13"/>
    <mergeCell ref="D14:E14"/>
    <mergeCell ref="D15:E15"/>
    <mergeCell ref="D16:E16"/>
    <mergeCell ref="D24:E24"/>
    <mergeCell ref="D25:E25"/>
    <mergeCell ref="D26:E26"/>
    <mergeCell ref="D27:E27"/>
    <mergeCell ref="D28:E28"/>
    <mergeCell ref="D19:E19"/>
    <mergeCell ref="D20:E20"/>
    <mergeCell ref="D21:E21"/>
    <mergeCell ref="D7:E7"/>
    <mergeCell ref="D8:E8"/>
    <mergeCell ref="D9:E9"/>
    <mergeCell ref="D10:E10"/>
    <mergeCell ref="D11:E11"/>
    <mergeCell ref="I6:J6"/>
    <mergeCell ref="B1:G1"/>
    <mergeCell ref="B2:C2"/>
    <mergeCell ref="D2:G2"/>
    <mergeCell ref="B3:C3"/>
    <mergeCell ref="B4:C4"/>
    <mergeCell ref="D4:G4"/>
    <mergeCell ref="D5:E5"/>
    <mergeCell ref="D6:E6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40BA-2362-4152-947F-18EA80895D3F}">
  <dimension ref="B1:F83"/>
  <sheetViews>
    <sheetView topLeftCell="A60" zoomScale="140" zoomScaleNormal="140" workbookViewId="0">
      <selection activeCell="E82" sqref="E82"/>
    </sheetView>
  </sheetViews>
  <sheetFormatPr defaultRowHeight="15" x14ac:dyDescent="0.25"/>
  <cols>
    <col min="1" max="1" width="1.7109375" customWidth="1"/>
    <col min="2" max="6" width="15.7109375" customWidth="1"/>
  </cols>
  <sheetData>
    <row r="1" spans="2:6" ht="16.5" thickTop="1" thickBot="1" x14ac:dyDescent="0.3">
      <c r="B1" s="213" t="s">
        <v>123</v>
      </c>
      <c r="C1" s="213"/>
      <c r="D1" s="213"/>
      <c r="E1" s="213"/>
      <c r="F1" s="213"/>
    </row>
    <row r="2" spans="2:6" ht="16.5" thickTop="1" thickBot="1" x14ac:dyDescent="0.3">
      <c r="B2" s="214" t="s">
        <v>13</v>
      </c>
      <c r="C2" s="215"/>
      <c r="D2" s="216" t="e">
        <f>'DADOS PARA PETIÇÃO INICIAL'!#REF!</f>
        <v>#REF!</v>
      </c>
      <c r="E2" s="217"/>
      <c r="F2" s="27"/>
    </row>
    <row r="3" spans="2:6" ht="25.5" thickTop="1" thickBot="1" x14ac:dyDescent="0.3">
      <c r="B3" s="4" t="s">
        <v>51</v>
      </c>
      <c r="C3" s="4" t="s">
        <v>32</v>
      </c>
      <c r="D3" s="4" t="s">
        <v>33</v>
      </c>
      <c r="E3" s="4" t="s">
        <v>34</v>
      </c>
      <c r="F3" s="4" t="s">
        <v>12</v>
      </c>
    </row>
    <row r="4" spans="2:6" ht="17.25" thickTop="1" thickBot="1" x14ac:dyDescent="0.3">
      <c r="B4" s="7">
        <f>'DADOS PARA PETIÇÃO INICIAL'!I11</f>
        <v>45148</v>
      </c>
      <c r="C4" s="8">
        <f>'DADOS PARA PETIÇÃO INICIAL'!I22</f>
        <v>1.9699999999999999E-2</v>
      </c>
      <c r="D4" s="8">
        <f>'DADOS PARA PETIÇÃO INICIAL'!I39</f>
        <v>1.6400000000000001E-2</v>
      </c>
      <c r="E4" s="8">
        <f>'DADOS PARA PETIÇÃO INICIAL'!I24</f>
        <v>2.0851286173794104E-2</v>
      </c>
      <c r="F4" s="9">
        <f>'DADOS PARA PETIÇÃO INICIAL'!I43</f>
        <v>58</v>
      </c>
    </row>
    <row r="5" spans="2:6" ht="24" thickTop="1" thickBot="1" x14ac:dyDescent="0.3">
      <c r="B5" s="5" t="s">
        <v>2</v>
      </c>
      <c r="C5" s="6" t="s">
        <v>35</v>
      </c>
      <c r="D5" s="6" t="s">
        <v>30</v>
      </c>
      <c r="E5" s="6" t="s">
        <v>31</v>
      </c>
      <c r="F5" s="6" t="s">
        <v>28</v>
      </c>
    </row>
    <row r="6" spans="2:6" ht="17.25" thickTop="1" thickBot="1" x14ac:dyDescent="0.3">
      <c r="B6" s="7">
        <f>'DADOS PARA PETIÇÃO INICIAL'!I23</f>
        <v>45208</v>
      </c>
      <c r="C6" s="9">
        <f>'DADOS PARA PETIÇÃO INICIAL'!I14</f>
        <v>0</v>
      </c>
      <c r="D6" s="118">
        <f>'DADOS PARA PETIÇÃO INICIAL'!I21</f>
        <v>1221.3499999999999</v>
      </c>
      <c r="E6" s="10">
        <f>'DADOS PARA PETIÇÃO INICIAL'!I40</f>
        <v>1077.1150463009665</v>
      </c>
      <c r="F6" s="9">
        <f>'DADOS PARA PETIÇÃO INICIAL'!I28</f>
        <v>36</v>
      </c>
    </row>
    <row r="7" spans="2:6" ht="28.5" thickTop="1" thickBot="1" x14ac:dyDescent="0.3">
      <c r="B7" s="28" t="s">
        <v>4</v>
      </c>
      <c r="C7" s="29" t="s">
        <v>3</v>
      </c>
      <c r="D7" s="30" t="s">
        <v>14</v>
      </c>
      <c r="E7" s="30" t="s">
        <v>36</v>
      </c>
      <c r="F7" s="29" t="s">
        <v>15</v>
      </c>
    </row>
    <row r="8" spans="2:6" ht="16.5" thickTop="1" thickBot="1" x14ac:dyDescent="0.3">
      <c r="B8" s="31">
        <v>1</v>
      </c>
      <c r="C8" s="32">
        <v>43412</v>
      </c>
      <c r="D8" s="33">
        <v>1221.3499999999999</v>
      </c>
      <c r="E8" s="211" t="s">
        <v>48</v>
      </c>
      <c r="F8" s="212"/>
    </row>
    <row r="9" spans="2:6" ht="16.5" thickTop="1" thickBot="1" x14ac:dyDescent="0.3">
      <c r="B9" s="31">
        <v>2</v>
      </c>
      <c r="C9" s="32">
        <v>43442</v>
      </c>
      <c r="D9" s="33">
        <v>1221.3499999999999</v>
      </c>
      <c r="E9" s="211" t="s">
        <v>48</v>
      </c>
      <c r="F9" s="212"/>
    </row>
    <row r="10" spans="2:6" ht="16.5" thickTop="1" thickBot="1" x14ac:dyDescent="0.3">
      <c r="B10" s="31">
        <v>3</v>
      </c>
      <c r="C10" s="32">
        <v>43473</v>
      </c>
      <c r="D10" s="33">
        <v>1221.3499999999999</v>
      </c>
      <c r="E10" s="211" t="s">
        <v>48</v>
      </c>
      <c r="F10" s="212"/>
    </row>
    <row r="11" spans="2:6" ht="16.5" thickTop="1" thickBot="1" x14ac:dyDescent="0.3">
      <c r="B11" s="31">
        <v>4</v>
      </c>
      <c r="C11" s="32">
        <v>43504</v>
      </c>
      <c r="D11" s="33">
        <v>1221.3499999999999</v>
      </c>
      <c r="E11" s="211" t="s">
        <v>48</v>
      </c>
      <c r="F11" s="212"/>
    </row>
    <row r="12" spans="2:6" ht="16.5" thickTop="1" thickBot="1" x14ac:dyDescent="0.3">
      <c r="B12" s="31">
        <v>5</v>
      </c>
      <c r="C12" s="32">
        <v>43532</v>
      </c>
      <c r="D12" s="33">
        <v>1221.3499999999999</v>
      </c>
      <c r="E12" s="211" t="s">
        <v>48</v>
      </c>
      <c r="F12" s="212"/>
    </row>
    <row r="13" spans="2:6" ht="16.5" thickTop="1" thickBot="1" x14ac:dyDescent="0.3">
      <c r="B13" s="31">
        <v>6</v>
      </c>
      <c r="C13" s="32">
        <v>43563</v>
      </c>
      <c r="D13" s="33">
        <v>1221.3499999999999</v>
      </c>
      <c r="E13" s="211" t="s">
        <v>48</v>
      </c>
      <c r="F13" s="212"/>
    </row>
    <row r="14" spans="2:6" ht="16.5" thickTop="1" thickBot="1" x14ac:dyDescent="0.3">
      <c r="B14" s="31">
        <v>7</v>
      </c>
      <c r="C14" s="32">
        <v>43593</v>
      </c>
      <c r="D14" s="33">
        <v>1221.3499999999999</v>
      </c>
      <c r="E14" s="211" t="s">
        <v>48</v>
      </c>
      <c r="F14" s="212"/>
    </row>
    <row r="15" spans="2:6" ht="16.5" thickTop="1" thickBot="1" x14ac:dyDescent="0.3">
      <c r="B15" s="31">
        <v>8</v>
      </c>
      <c r="C15" s="32">
        <v>43624</v>
      </c>
      <c r="D15" s="33">
        <v>1221.3499999999999</v>
      </c>
      <c r="E15" s="211" t="s">
        <v>48</v>
      </c>
      <c r="F15" s="212"/>
    </row>
    <row r="16" spans="2:6" ht="16.5" thickTop="1" thickBot="1" x14ac:dyDescent="0.3">
      <c r="B16" s="31">
        <v>9</v>
      </c>
      <c r="C16" s="32">
        <v>43654</v>
      </c>
      <c r="D16" s="33">
        <v>1221.3499999999999</v>
      </c>
      <c r="E16" s="211" t="s">
        <v>48</v>
      </c>
      <c r="F16" s="212"/>
    </row>
    <row r="17" spans="2:6" ht="16.5" thickTop="1" thickBot="1" x14ac:dyDescent="0.3">
      <c r="B17" s="31">
        <v>10</v>
      </c>
      <c r="C17" s="32">
        <v>43685</v>
      </c>
      <c r="D17" s="33">
        <v>1221.3499999999999</v>
      </c>
      <c r="E17" s="211" t="s">
        <v>48</v>
      </c>
      <c r="F17" s="212"/>
    </row>
    <row r="18" spans="2:6" ht="16.5" thickTop="1" thickBot="1" x14ac:dyDescent="0.3">
      <c r="B18" s="31">
        <v>11</v>
      </c>
      <c r="C18" s="32">
        <v>43716</v>
      </c>
      <c r="D18" s="33">
        <v>1221.3499999999999</v>
      </c>
      <c r="E18" s="211" t="s">
        <v>48</v>
      </c>
      <c r="F18" s="212"/>
    </row>
    <row r="19" spans="2:6" ht="16.5" thickTop="1" thickBot="1" x14ac:dyDescent="0.3">
      <c r="B19" s="31">
        <v>12</v>
      </c>
      <c r="C19" s="32">
        <v>43746</v>
      </c>
      <c r="D19" s="33">
        <v>1221.3499999999999</v>
      </c>
      <c r="E19" s="211" t="s">
        <v>48</v>
      </c>
      <c r="F19" s="212"/>
    </row>
    <row r="20" spans="2:6" ht="16.5" thickTop="1" thickBot="1" x14ac:dyDescent="0.3">
      <c r="B20" s="31">
        <v>13</v>
      </c>
      <c r="C20" s="32">
        <v>43777</v>
      </c>
      <c r="D20" s="33">
        <v>1221.3499999999999</v>
      </c>
      <c r="E20" s="211" t="s">
        <v>48</v>
      </c>
      <c r="F20" s="212"/>
    </row>
    <row r="21" spans="2:6" ht="16.5" thickTop="1" thickBot="1" x14ac:dyDescent="0.3">
      <c r="B21" s="31">
        <v>14</v>
      </c>
      <c r="C21" s="32">
        <v>43807</v>
      </c>
      <c r="D21" s="33">
        <v>1221.3499999999999</v>
      </c>
      <c r="E21" s="211" t="s">
        <v>48</v>
      </c>
      <c r="F21" s="212"/>
    </row>
    <row r="22" spans="2:6" ht="16.5" thickTop="1" thickBot="1" x14ac:dyDescent="0.3">
      <c r="B22" s="31">
        <v>15</v>
      </c>
      <c r="C22" s="32">
        <v>43838</v>
      </c>
      <c r="D22" s="33">
        <v>1221.3499999999999</v>
      </c>
      <c r="E22" s="211" t="s">
        <v>48</v>
      </c>
      <c r="F22" s="212"/>
    </row>
    <row r="23" spans="2:6" ht="16.5" thickTop="1" thickBot="1" x14ac:dyDescent="0.3">
      <c r="B23" s="31">
        <v>16</v>
      </c>
      <c r="C23" s="32">
        <v>43869</v>
      </c>
      <c r="D23" s="33">
        <v>1221.3499999999999</v>
      </c>
      <c r="E23" s="211" t="s">
        <v>48</v>
      </c>
      <c r="F23" s="212"/>
    </row>
    <row r="24" spans="2:6" ht="16.5" thickTop="1" thickBot="1" x14ac:dyDescent="0.3">
      <c r="B24" s="31">
        <v>17</v>
      </c>
      <c r="C24" s="32">
        <v>43898</v>
      </c>
      <c r="D24" s="33">
        <v>1221.3499999999999</v>
      </c>
      <c r="E24" s="211" t="s">
        <v>48</v>
      </c>
      <c r="F24" s="212"/>
    </row>
    <row r="25" spans="2:6" ht="16.5" thickTop="1" thickBot="1" x14ac:dyDescent="0.3">
      <c r="B25" s="31">
        <v>18</v>
      </c>
      <c r="C25" s="32">
        <v>43929</v>
      </c>
      <c r="D25" s="33">
        <v>1221.3499999999999</v>
      </c>
      <c r="E25" s="211" t="s">
        <v>48</v>
      </c>
      <c r="F25" s="212"/>
    </row>
    <row r="26" spans="2:6" ht="16.5" thickTop="1" thickBot="1" x14ac:dyDescent="0.3">
      <c r="B26" s="31">
        <v>19</v>
      </c>
      <c r="C26" s="32">
        <v>43959</v>
      </c>
      <c r="D26" s="33">
        <v>1221.3499999999999</v>
      </c>
      <c r="E26" s="211" t="s">
        <v>48</v>
      </c>
      <c r="F26" s="212"/>
    </row>
    <row r="27" spans="2:6" ht="16.5" thickTop="1" thickBot="1" x14ac:dyDescent="0.3">
      <c r="B27" s="31">
        <v>20</v>
      </c>
      <c r="C27" s="32">
        <v>43990</v>
      </c>
      <c r="D27" s="33">
        <v>1221.3499999999999</v>
      </c>
      <c r="E27" s="211" t="s">
        <v>48</v>
      </c>
      <c r="F27" s="212"/>
    </row>
    <row r="28" spans="2:6" ht="16.5" thickTop="1" thickBot="1" x14ac:dyDescent="0.3">
      <c r="B28" s="31">
        <v>21</v>
      </c>
      <c r="C28" s="32">
        <v>44020</v>
      </c>
      <c r="D28" s="33">
        <v>1221.3499999999999</v>
      </c>
      <c r="E28" s="211" t="s">
        <v>48</v>
      </c>
      <c r="F28" s="212"/>
    </row>
    <row r="29" spans="2:6" ht="16.5" thickTop="1" thickBot="1" x14ac:dyDescent="0.3">
      <c r="B29" s="31">
        <v>22</v>
      </c>
      <c r="C29" s="32">
        <v>44051</v>
      </c>
      <c r="D29" s="33">
        <v>1221.3499999999999</v>
      </c>
      <c r="E29" s="211" t="s">
        <v>48</v>
      </c>
      <c r="F29" s="212"/>
    </row>
    <row r="30" spans="2:6" ht="16.5" thickTop="1" thickBot="1" x14ac:dyDescent="0.3">
      <c r="B30" s="31">
        <v>23</v>
      </c>
      <c r="C30" s="32">
        <v>44082</v>
      </c>
      <c r="D30" s="33">
        <v>1221.3499999999999</v>
      </c>
      <c r="E30" s="211" t="s">
        <v>48</v>
      </c>
      <c r="F30" s="212"/>
    </row>
    <row r="31" spans="2:6" ht="16.5" thickTop="1" thickBot="1" x14ac:dyDescent="0.3">
      <c r="B31" s="31">
        <v>24</v>
      </c>
      <c r="C31" s="32">
        <v>44112</v>
      </c>
      <c r="D31" s="33">
        <v>1221.3499999999999</v>
      </c>
      <c r="E31" s="211" t="s">
        <v>48</v>
      </c>
      <c r="F31" s="212"/>
    </row>
    <row r="32" spans="2:6" ht="16.5" thickTop="1" thickBot="1" x14ac:dyDescent="0.3">
      <c r="B32" s="31">
        <v>25</v>
      </c>
      <c r="C32" s="32">
        <v>44143</v>
      </c>
      <c r="D32" s="33">
        <v>1221.3499999999999</v>
      </c>
      <c r="E32" s="211" t="s">
        <v>48</v>
      </c>
      <c r="F32" s="212"/>
    </row>
    <row r="33" spans="2:6" ht="16.5" thickTop="1" thickBot="1" x14ac:dyDescent="0.3">
      <c r="B33" s="31">
        <v>26</v>
      </c>
      <c r="C33" s="32">
        <v>44173</v>
      </c>
      <c r="D33" s="33">
        <v>1221.3499999999999</v>
      </c>
      <c r="E33" s="211" t="s">
        <v>48</v>
      </c>
      <c r="F33" s="212"/>
    </row>
    <row r="34" spans="2:6" ht="16.5" thickTop="1" thickBot="1" x14ac:dyDescent="0.3">
      <c r="B34" s="31">
        <v>27</v>
      </c>
      <c r="C34" s="32">
        <v>44204</v>
      </c>
      <c r="D34" s="33">
        <v>1221.3499999999999</v>
      </c>
      <c r="E34" s="211" t="s">
        <v>48</v>
      </c>
      <c r="F34" s="212"/>
    </row>
    <row r="35" spans="2:6" ht="16.5" thickTop="1" thickBot="1" x14ac:dyDescent="0.3">
      <c r="B35" s="31">
        <v>28</v>
      </c>
      <c r="C35" s="32">
        <v>44235</v>
      </c>
      <c r="D35" s="33">
        <v>1221.3499999999999</v>
      </c>
      <c r="E35" s="211" t="s">
        <v>48</v>
      </c>
      <c r="F35" s="212"/>
    </row>
    <row r="36" spans="2:6" ht="16.5" thickTop="1" thickBot="1" x14ac:dyDescent="0.3">
      <c r="B36" s="31">
        <v>29</v>
      </c>
      <c r="C36" s="32">
        <v>44263</v>
      </c>
      <c r="D36" s="33">
        <v>1221.3499999999999</v>
      </c>
      <c r="E36" s="211" t="s">
        <v>48</v>
      </c>
      <c r="F36" s="212"/>
    </row>
    <row r="37" spans="2:6" ht="16.5" thickTop="1" thickBot="1" x14ac:dyDescent="0.3">
      <c r="B37" s="31">
        <v>30</v>
      </c>
      <c r="C37" s="32">
        <v>44294</v>
      </c>
      <c r="D37" s="33">
        <v>1221.3499999999999</v>
      </c>
      <c r="E37" s="211" t="s">
        <v>48</v>
      </c>
      <c r="F37" s="212"/>
    </row>
    <row r="38" spans="2:6" ht="16.5" thickTop="1" thickBot="1" x14ac:dyDescent="0.3">
      <c r="B38" s="31">
        <v>31</v>
      </c>
      <c r="C38" s="32">
        <v>44324</v>
      </c>
      <c r="D38" s="33">
        <v>1221.3499999999999</v>
      </c>
      <c r="E38" s="211" t="s">
        <v>48</v>
      </c>
      <c r="F38" s="212"/>
    </row>
    <row r="39" spans="2:6" ht="16.5" thickTop="1" thickBot="1" x14ac:dyDescent="0.3">
      <c r="B39" s="31">
        <v>32</v>
      </c>
      <c r="C39" s="32">
        <v>44355</v>
      </c>
      <c r="D39" s="33">
        <v>1221.3499999999999</v>
      </c>
      <c r="E39" s="211" t="s">
        <v>48</v>
      </c>
      <c r="F39" s="212"/>
    </row>
    <row r="40" spans="2:6" ht="16.5" thickTop="1" thickBot="1" x14ac:dyDescent="0.3">
      <c r="B40" s="31">
        <v>33</v>
      </c>
      <c r="C40" s="32">
        <v>44385</v>
      </c>
      <c r="D40" s="33">
        <v>1221.3499999999999</v>
      </c>
      <c r="E40" s="211" t="s">
        <v>48</v>
      </c>
      <c r="F40" s="212"/>
    </row>
    <row r="41" spans="2:6" ht="16.5" thickTop="1" thickBot="1" x14ac:dyDescent="0.3">
      <c r="B41" s="31">
        <v>34</v>
      </c>
      <c r="C41" s="32">
        <v>44416</v>
      </c>
      <c r="D41" s="33">
        <v>1221.3499999999999</v>
      </c>
      <c r="E41" s="211" t="s">
        <v>48</v>
      </c>
      <c r="F41" s="212"/>
    </row>
    <row r="42" spans="2:6" ht="16.5" thickTop="1" thickBot="1" x14ac:dyDescent="0.3">
      <c r="B42" s="31">
        <v>35</v>
      </c>
      <c r="C42" s="32">
        <v>44447</v>
      </c>
      <c r="D42" s="33">
        <v>1221.3499999999999</v>
      </c>
      <c r="E42" s="211" t="s">
        <v>48</v>
      </c>
      <c r="F42" s="212"/>
    </row>
    <row r="43" spans="2:6" ht="16.5" thickTop="1" thickBot="1" x14ac:dyDescent="0.3">
      <c r="B43" s="31">
        <v>36</v>
      </c>
      <c r="C43" s="32">
        <v>44477</v>
      </c>
      <c r="D43" s="33">
        <v>1221.3499999999999</v>
      </c>
      <c r="E43" s="211" t="s">
        <v>48</v>
      </c>
      <c r="F43" s="212"/>
    </row>
    <row r="44" spans="2:6" ht="16.5" thickTop="1" thickBot="1" x14ac:dyDescent="0.3">
      <c r="B44" s="31">
        <v>37</v>
      </c>
      <c r="C44" s="32">
        <v>44508</v>
      </c>
      <c r="D44" s="33">
        <v>1221.3499999999999</v>
      </c>
      <c r="E44" s="211" t="s">
        <v>48</v>
      </c>
      <c r="F44" s="212"/>
    </row>
    <row r="45" spans="2:6" ht="16.5" thickTop="1" thickBot="1" x14ac:dyDescent="0.3">
      <c r="B45" s="31">
        <v>38</v>
      </c>
      <c r="C45" s="32">
        <v>44538</v>
      </c>
      <c r="D45" s="33">
        <v>1221.3499999999999</v>
      </c>
      <c r="E45" s="211" t="s">
        <v>48</v>
      </c>
      <c r="F45" s="212"/>
    </row>
    <row r="46" spans="2:6" ht="16.5" thickTop="1" thickBot="1" x14ac:dyDescent="0.3">
      <c r="B46" s="31">
        <v>39</v>
      </c>
      <c r="C46" s="32">
        <v>44569</v>
      </c>
      <c r="D46" s="33">
        <v>1221.3499999999999</v>
      </c>
      <c r="E46" s="211" t="s">
        <v>48</v>
      </c>
      <c r="F46" s="212"/>
    </row>
    <row r="47" spans="2:6" ht="16.5" thickTop="1" thickBot="1" x14ac:dyDescent="0.3">
      <c r="B47" s="31">
        <v>40</v>
      </c>
      <c r="C47" s="32">
        <v>44600</v>
      </c>
      <c r="D47" s="33">
        <v>1221.3499999999999</v>
      </c>
      <c r="E47" s="211" t="s">
        <v>48</v>
      </c>
      <c r="F47" s="212"/>
    </row>
    <row r="48" spans="2:6" ht="16.5" thickTop="1" thickBot="1" x14ac:dyDescent="0.3">
      <c r="B48" s="31">
        <v>41</v>
      </c>
      <c r="C48" s="32">
        <v>44628</v>
      </c>
      <c r="D48" s="33">
        <v>1221.3499999999999</v>
      </c>
      <c r="E48" s="211" t="s">
        <v>48</v>
      </c>
      <c r="F48" s="212"/>
    </row>
    <row r="49" spans="2:6" ht="16.5" thickTop="1" thickBot="1" x14ac:dyDescent="0.3">
      <c r="B49" s="31">
        <v>42</v>
      </c>
      <c r="C49" s="32">
        <v>44659</v>
      </c>
      <c r="D49" s="33">
        <v>1221.3499999999999</v>
      </c>
      <c r="E49" s="211" t="s">
        <v>48</v>
      </c>
      <c r="F49" s="212"/>
    </row>
    <row r="50" spans="2:6" ht="16.5" thickTop="1" thickBot="1" x14ac:dyDescent="0.3">
      <c r="B50" s="31">
        <v>43</v>
      </c>
      <c r="C50" s="32">
        <v>44689</v>
      </c>
      <c r="D50" s="33">
        <v>1221.3499999999999</v>
      </c>
      <c r="E50" s="211" t="s">
        <v>48</v>
      </c>
      <c r="F50" s="212"/>
    </row>
    <row r="51" spans="2:6" ht="16.5" thickTop="1" thickBot="1" x14ac:dyDescent="0.3">
      <c r="B51" s="31">
        <v>44</v>
      </c>
      <c r="C51" s="32">
        <v>44720</v>
      </c>
      <c r="D51" s="33">
        <v>1221.3499999999999</v>
      </c>
      <c r="E51" s="211" t="s">
        <v>48</v>
      </c>
      <c r="F51" s="212"/>
    </row>
    <row r="52" spans="2:6" ht="16.5" thickTop="1" thickBot="1" x14ac:dyDescent="0.3">
      <c r="B52" s="31">
        <v>45</v>
      </c>
      <c r="C52" s="32">
        <v>44750</v>
      </c>
      <c r="D52" s="33">
        <v>1221.3499999999999</v>
      </c>
      <c r="E52" s="211" t="s">
        <v>48</v>
      </c>
      <c r="F52" s="212"/>
    </row>
    <row r="53" spans="2:6" ht="16.5" thickTop="1" thickBot="1" x14ac:dyDescent="0.3">
      <c r="B53" s="31">
        <v>46</v>
      </c>
      <c r="C53" s="32">
        <v>44781</v>
      </c>
      <c r="D53" s="33">
        <v>1221.3499999999999</v>
      </c>
      <c r="E53" s="211" t="s">
        <v>48</v>
      </c>
      <c r="F53" s="212"/>
    </row>
    <row r="54" spans="2:6" ht="16.5" thickTop="1" thickBot="1" x14ac:dyDescent="0.3">
      <c r="B54" s="31">
        <v>47</v>
      </c>
      <c r="C54" s="32">
        <v>44812</v>
      </c>
      <c r="D54" s="33">
        <v>1221.3499999999999</v>
      </c>
      <c r="E54" s="211" t="s">
        <v>48</v>
      </c>
      <c r="F54" s="212"/>
    </row>
    <row r="55" spans="2:6" ht="16.5" thickTop="1" thickBot="1" x14ac:dyDescent="0.3">
      <c r="B55" s="31">
        <v>48</v>
      </c>
      <c r="C55" s="32">
        <v>44842</v>
      </c>
      <c r="D55" s="33">
        <v>1221.3499999999999</v>
      </c>
      <c r="E55" s="211" t="s">
        <v>48</v>
      </c>
      <c r="F55" s="212"/>
    </row>
    <row r="56" spans="2:6" ht="16.5" thickTop="1" thickBot="1" x14ac:dyDescent="0.3">
      <c r="B56" s="31">
        <v>49</v>
      </c>
      <c r="C56" s="32">
        <v>44873</v>
      </c>
      <c r="D56" s="33">
        <v>1221.3499999999999</v>
      </c>
      <c r="E56" s="211" t="s">
        <v>48</v>
      </c>
      <c r="F56" s="212"/>
    </row>
    <row r="57" spans="2:6" ht="16.5" thickTop="1" thickBot="1" x14ac:dyDescent="0.3">
      <c r="B57" s="31">
        <v>50</v>
      </c>
      <c r="C57" s="32">
        <v>44903</v>
      </c>
      <c r="D57" s="33">
        <v>1221.3499999999999</v>
      </c>
      <c r="E57" s="211" t="s">
        <v>48</v>
      </c>
      <c r="F57" s="212"/>
    </row>
    <row r="58" spans="2:6" ht="16.5" thickTop="1" thickBot="1" x14ac:dyDescent="0.3">
      <c r="B58" s="31">
        <v>51</v>
      </c>
      <c r="C58" s="32">
        <v>44934</v>
      </c>
      <c r="D58" s="33">
        <v>1221.3499999999999</v>
      </c>
      <c r="E58" s="211" t="s">
        <v>48</v>
      </c>
      <c r="F58" s="212"/>
    </row>
    <row r="59" spans="2:6" ht="16.5" thickTop="1" thickBot="1" x14ac:dyDescent="0.3">
      <c r="B59" s="31">
        <v>52</v>
      </c>
      <c r="C59" s="32">
        <v>44965</v>
      </c>
      <c r="D59" s="33">
        <v>1221.3499999999999</v>
      </c>
      <c r="E59" s="211" t="s">
        <v>48</v>
      </c>
      <c r="F59" s="212"/>
    </row>
    <row r="60" spans="2:6" ht="16.5" thickTop="1" thickBot="1" x14ac:dyDescent="0.3">
      <c r="B60" s="31">
        <v>53</v>
      </c>
      <c r="C60" s="32">
        <v>44993</v>
      </c>
      <c r="D60" s="33">
        <v>1221.3499999999999</v>
      </c>
      <c r="E60" s="211" t="s">
        <v>48</v>
      </c>
      <c r="F60" s="212"/>
    </row>
    <row r="61" spans="2:6" ht="16.5" thickTop="1" thickBot="1" x14ac:dyDescent="0.3">
      <c r="B61" s="31">
        <v>54</v>
      </c>
      <c r="C61" s="32">
        <v>45024</v>
      </c>
      <c r="D61" s="33">
        <v>1221.3499999999999</v>
      </c>
      <c r="E61" s="211" t="s">
        <v>48</v>
      </c>
      <c r="F61" s="212"/>
    </row>
    <row r="62" spans="2:6" ht="16.5" thickTop="1" thickBot="1" x14ac:dyDescent="0.3">
      <c r="B62" s="31">
        <v>55</v>
      </c>
      <c r="C62" s="32">
        <v>45054</v>
      </c>
      <c r="D62" s="33">
        <v>1221.3499999999999</v>
      </c>
      <c r="E62" s="211" t="s">
        <v>48</v>
      </c>
      <c r="F62" s="212"/>
    </row>
    <row r="63" spans="2:6" ht="16.5" thickTop="1" thickBot="1" x14ac:dyDescent="0.3">
      <c r="B63" s="31">
        <v>56</v>
      </c>
      <c r="C63" s="32">
        <v>45085</v>
      </c>
      <c r="D63" s="33">
        <v>1221.3499999999999</v>
      </c>
      <c r="E63" s="211" t="s">
        <v>48</v>
      </c>
      <c r="F63" s="212"/>
    </row>
    <row r="64" spans="2:6" ht="16.5" thickTop="1" thickBot="1" x14ac:dyDescent="0.3">
      <c r="B64" s="31">
        <v>57</v>
      </c>
      <c r="C64" s="32">
        <v>45115</v>
      </c>
      <c r="D64" s="33">
        <v>1221.3499999999999</v>
      </c>
      <c r="E64" s="211" t="s">
        <v>48</v>
      </c>
      <c r="F64" s="212"/>
    </row>
    <row r="65" spans="2:6" ht="16.5" thickTop="1" thickBot="1" x14ac:dyDescent="0.3">
      <c r="B65" s="31">
        <v>58</v>
      </c>
      <c r="C65" s="32">
        <v>45146</v>
      </c>
      <c r="D65" s="33">
        <v>1221.3499999999999</v>
      </c>
      <c r="E65" s="211" t="s">
        <v>48</v>
      </c>
      <c r="F65" s="212"/>
    </row>
    <row r="66" spans="2:6" ht="16.5" thickTop="1" thickBot="1" x14ac:dyDescent="0.3">
      <c r="B66" s="31"/>
      <c r="C66" s="224" t="s">
        <v>92</v>
      </c>
      <c r="D66" s="225"/>
      <c r="E66" s="225"/>
      <c r="F66" s="225"/>
    </row>
    <row r="67" spans="2:6" ht="16.5" thickTop="1" thickBot="1" x14ac:dyDescent="0.3">
      <c r="B67" s="31">
        <v>59</v>
      </c>
      <c r="C67" s="34">
        <v>45177</v>
      </c>
      <c r="D67" s="35">
        <v>1221.3499999999999</v>
      </c>
      <c r="E67" s="218" t="s">
        <v>49</v>
      </c>
      <c r="F67" s="219"/>
    </row>
    <row r="68" spans="2:6" ht="16.5" thickTop="1" thickBot="1" x14ac:dyDescent="0.3">
      <c r="B68" s="31">
        <v>60</v>
      </c>
      <c r="C68" s="34">
        <v>45207</v>
      </c>
      <c r="D68" s="35">
        <v>1221.3499999999999</v>
      </c>
      <c r="E68" s="218" t="s">
        <v>49</v>
      </c>
      <c r="F68" s="219"/>
    </row>
    <row r="69" spans="2:6" ht="16.5" thickTop="1" thickBot="1" x14ac:dyDescent="0.3">
      <c r="B69" s="31">
        <v>61</v>
      </c>
      <c r="C69" s="34">
        <v>45238</v>
      </c>
      <c r="D69" s="35">
        <v>1221.3499999999999</v>
      </c>
      <c r="E69" s="218" t="s">
        <v>49</v>
      </c>
      <c r="F69" s="219"/>
    </row>
    <row r="70" spans="2:6" ht="16.5" thickTop="1" thickBot="1" x14ac:dyDescent="0.3">
      <c r="B70" s="31">
        <v>62</v>
      </c>
      <c r="C70" s="34">
        <v>45268</v>
      </c>
      <c r="D70" s="35">
        <v>1221.3499999999999</v>
      </c>
      <c r="E70" s="218" t="s">
        <v>49</v>
      </c>
      <c r="F70" s="219"/>
    </row>
    <row r="71" spans="2:6" ht="16.5" thickTop="1" thickBot="1" x14ac:dyDescent="0.3">
      <c r="B71" s="31">
        <v>63</v>
      </c>
      <c r="C71" s="34">
        <v>45299</v>
      </c>
      <c r="D71" s="35">
        <v>1221.3499999999999</v>
      </c>
      <c r="E71" s="218" t="s">
        <v>49</v>
      </c>
      <c r="F71" s="219"/>
    </row>
    <row r="72" spans="2:6" ht="16.5" thickTop="1" thickBot="1" x14ac:dyDescent="0.3">
      <c r="B72" s="31">
        <v>64</v>
      </c>
      <c r="C72" s="34">
        <v>45330</v>
      </c>
      <c r="D72" s="35">
        <v>1221.3499999999999</v>
      </c>
      <c r="E72" s="218" t="s">
        <v>49</v>
      </c>
      <c r="F72" s="219"/>
    </row>
    <row r="73" spans="2:6" ht="16.5" thickTop="1" thickBot="1" x14ac:dyDescent="0.3">
      <c r="B73" s="31">
        <v>65</v>
      </c>
      <c r="C73" s="34">
        <v>45359</v>
      </c>
      <c r="D73" s="35">
        <v>1221.3499999999999</v>
      </c>
      <c r="E73" s="218" t="s">
        <v>49</v>
      </c>
      <c r="F73" s="219"/>
    </row>
    <row r="74" spans="2:6" ht="16.5" thickTop="1" thickBot="1" x14ac:dyDescent="0.3">
      <c r="B74" s="31">
        <v>66</v>
      </c>
      <c r="C74" s="34">
        <v>45390</v>
      </c>
      <c r="D74" s="35">
        <v>1221.3499999999999</v>
      </c>
      <c r="E74" s="218" t="s">
        <v>49</v>
      </c>
      <c r="F74" s="219"/>
    </row>
    <row r="75" spans="2:6" ht="16.5" thickTop="1" thickBot="1" x14ac:dyDescent="0.3">
      <c r="B75" s="31">
        <v>67</v>
      </c>
      <c r="C75" s="34">
        <v>45420</v>
      </c>
      <c r="D75" s="35">
        <v>1221.3499999999999</v>
      </c>
      <c r="E75" s="218" t="s">
        <v>49</v>
      </c>
      <c r="F75" s="219"/>
    </row>
    <row r="76" spans="2:6" ht="16.5" thickTop="1" thickBot="1" x14ac:dyDescent="0.3">
      <c r="B76" s="31">
        <v>68</v>
      </c>
      <c r="C76" s="34">
        <v>45451</v>
      </c>
      <c r="D76" s="35">
        <v>1221.3499999999999</v>
      </c>
      <c r="E76" s="218" t="s">
        <v>49</v>
      </c>
      <c r="F76" s="219"/>
    </row>
    <row r="77" spans="2:6" ht="16.5" thickTop="1" thickBot="1" x14ac:dyDescent="0.3">
      <c r="B77" s="31">
        <v>69</v>
      </c>
      <c r="C77" s="34">
        <v>45481</v>
      </c>
      <c r="D77" s="35">
        <v>1221.3499999999999</v>
      </c>
      <c r="E77" s="218" t="s">
        <v>49</v>
      </c>
      <c r="F77" s="219"/>
    </row>
    <row r="78" spans="2:6" ht="16.5" thickTop="1" thickBot="1" x14ac:dyDescent="0.3">
      <c r="B78" s="31">
        <v>70</v>
      </c>
      <c r="C78" s="34">
        <v>45512</v>
      </c>
      <c r="D78" s="35">
        <v>1221.3499999999999</v>
      </c>
      <c r="E78" s="218" t="s">
        <v>49</v>
      </c>
      <c r="F78" s="219"/>
    </row>
    <row r="79" spans="2:6" ht="16.5" thickTop="1" thickBot="1" x14ac:dyDescent="0.3">
      <c r="B79" s="31">
        <v>71</v>
      </c>
      <c r="C79" s="34">
        <v>45543</v>
      </c>
      <c r="D79" s="35">
        <v>1221.3499999999999</v>
      </c>
      <c r="E79" s="218" t="s">
        <v>49</v>
      </c>
      <c r="F79" s="219"/>
    </row>
    <row r="80" spans="2:6" ht="16.5" thickTop="1" thickBot="1" x14ac:dyDescent="0.3">
      <c r="B80" s="31">
        <v>72</v>
      </c>
      <c r="C80" s="34">
        <v>45573</v>
      </c>
      <c r="D80" s="35">
        <v>1221.3499999999999</v>
      </c>
      <c r="E80" s="218" t="s">
        <v>49</v>
      </c>
      <c r="F80" s="219"/>
    </row>
    <row r="81" spans="2:6" ht="16.5" thickTop="1" thickBot="1" x14ac:dyDescent="0.3">
      <c r="B81" s="222" t="s">
        <v>37</v>
      </c>
      <c r="C81" s="223"/>
      <c r="D81" s="36">
        <f>SUM(D67:D80)</f>
        <v>17098.900000000001</v>
      </c>
      <c r="E81" s="37"/>
      <c r="F81" s="38"/>
    </row>
    <row r="82" spans="2:6" ht="16.5" thickTop="1" thickBot="1" x14ac:dyDescent="0.3">
      <c r="B82" s="220" t="s">
        <v>50</v>
      </c>
      <c r="C82" s="221"/>
      <c r="D82" s="39">
        <f>D81*2</f>
        <v>34197.800000000003</v>
      </c>
      <c r="E82" s="40"/>
      <c r="F82" s="41"/>
    </row>
    <row r="83" spans="2:6" ht="15.75" thickTop="1" x14ac:dyDescent="0.25"/>
  </sheetData>
  <mergeCells count="78">
    <mergeCell ref="E69:F69"/>
    <mergeCell ref="E70:F70"/>
    <mergeCell ref="E61:F61"/>
    <mergeCell ref="B81:C81"/>
    <mergeCell ref="E63:F63"/>
    <mergeCell ref="E64:F64"/>
    <mergeCell ref="E65:F65"/>
    <mergeCell ref="C66:F66"/>
    <mergeCell ref="E62:F62"/>
    <mergeCell ref="B82:C82"/>
    <mergeCell ref="E72:F72"/>
    <mergeCell ref="E73:F73"/>
    <mergeCell ref="E74:F74"/>
    <mergeCell ref="E75:F75"/>
    <mergeCell ref="E76:F76"/>
    <mergeCell ref="E77:F77"/>
    <mergeCell ref="E80:F80"/>
    <mergeCell ref="E78:F78"/>
    <mergeCell ref="E79:F79"/>
    <mergeCell ref="E71:F71"/>
    <mergeCell ref="E60:F60"/>
    <mergeCell ref="E54:F54"/>
    <mergeCell ref="E55:F55"/>
    <mergeCell ref="E48:F48"/>
    <mergeCell ref="E49:F49"/>
    <mergeCell ref="E50:F50"/>
    <mergeCell ref="E51:F51"/>
    <mergeCell ref="E52:F52"/>
    <mergeCell ref="E53:F53"/>
    <mergeCell ref="E56:F56"/>
    <mergeCell ref="E57:F57"/>
    <mergeCell ref="E58:F58"/>
    <mergeCell ref="E59:F59"/>
    <mergeCell ref="E67:F67"/>
    <mergeCell ref="E68:F68"/>
    <mergeCell ref="E47:F47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20:F20"/>
    <mergeCell ref="E21:F21"/>
    <mergeCell ref="E22:F22"/>
    <mergeCell ref="E35:F35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23:F23"/>
    <mergeCell ref="E11:F11"/>
    <mergeCell ref="B1:F1"/>
    <mergeCell ref="B2:C2"/>
    <mergeCell ref="E8:F8"/>
    <mergeCell ref="E9:F9"/>
    <mergeCell ref="E10:F10"/>
    <mergeCell ref="D2:E2"/>
    <mergeCell ref="E17:F17"/>
    <mergeCell ref="E18:F18"/>
    <mergeCell ref="E19:F19"/>
    <mergeCell ref="E12:F12"/>
    <mergeCell ref="E13:F13"/>
    <mergeCell ref="E14:F14"/>
    <mergeCell ref="E15:F15"/>
    <mergeCell ref="E16:F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B1C6-5DC4-48D3-90B8-FDFAC2AFC3D7}">
  <dimension ref="A1:O63"/>
  <sheetViews>
    <sheetView zoomScale="60" zoomScaleNormal="60" workbookViewId="0">
      <selection activeCell="L11" sqref="L11"/>
    </sheetView>
  </sheetViews>
  <sheetFormatPr defaultRowHeight="15" x14ac:dyDescent="0.25"/>
  <cols>
    <col min="1" max="1" width="1.85546875" style="1" customWidth="1"/>
    <col min="2" max="2" width="63.7109375" style="1" customWidth="1"/>
    <col min="3" max="3" width="19.5703125" style="1" customWidth="1"/>
    <col min="4" max="4" width="9.140625" style="1"/>
    <col min="5" max="7" width="3.42578125" style="1" customWidth="1"/>
    <col min="8" max="15" width="9.140625" style="1"/>
  </cols>
  <sheetData>
    <row r="1" spans="1:15" ht="15.75" thickBot="1" x14ac:dyDescent="0.3"/>
    <row r="2" spans="1:15" ht="22.5" thickTop="1" thickBot="1" x14ac:dyDescent="0.4">
      <c r="B2" s="122" t="s">
        <v>53</v>
      </c>
      <c r="C2" s="122"/>
      <c r="D2" s="122"/>
      <c r="G2"/>
      <c r="H2"/>
      <c r="I2"/>
      <c r="J2"/>
      <c r="K2"/>
      <c r="L2"/>
      <c r="M2"/>
      <c r="N2"/>
      <c r="O2"/>
    </row>
    <row r="3" spans="1:15" ht="22.5" thickTop="1" thickBot="1" x14ac:dyDescent="0.4">
      <c r="B3" s="44" t="s">
        <v>93</v>
      </c>
      <c r="C3" s="121">
        <f>'DADOS PARA PETIÇÃO INICIAL'!I39</f>
        <v>1.6400000000000001E-2</v>
      </c>
      <c r="D3" s="121"/>
      <c r="G3"/>
      <c r="H3"/>
      <c r="I3"/>
      <c r="J3"/>
      <c r="K3"/>
      <c r="L3"/>
      <c r="M3"/>
      <c r="N3"/>
      <c r="O3"/>
    </row>
    <row r="4" spans="1:15" ht="22.5" thickTop="1" thickBot="1" x14ac:dyDescent="0.4">
      <c r="B4" s="44" t="s">
        <v>26</v>
      </c>
      <c r="C4" s="121">
        <f>'DADOS PARA PETIÇÃO INICIAL'!I22</f>
        <v>1.9699999999999999E-2</v>
      </c>
      <c r="D4" s="121"/>
      <c r="G4"/>
      <c r="H4"/>
      <c r="I4"/>
      <c r="J4"/>
      <c r="K4"/>
      <c r="L4"/>
      <c r="M4"/>
      <c r="N4"/>
      <c r="O4"/>
    </row>
    <row r="5" spans="1:15" ht="22.5" thickTop="1" thickBot="1" x14ac:dyDescent="0.4">
      <c r="B5" s="44" t="s">
        <v>94</v>
      </c>
      <c r="C5" s="121">
        <f>((C4-C3)/C3)</f>
        <v>0.20121951219512177</v>
      </c>
      <c r="D5" s="121"/>
      <c r="G5"/>
      <c r="H5"/>
      <c r="I5"/>
      <c r="J5"/>
      <c r="K5"/>
      <c r="L5"/>
      <c r="M5"/>
      <c r="N5"/>
      <c r="O5"/>
    </row>
    <row r="6" spans="1:15" ht="15.75" thickTop="1" x14ac:dyDescent="0.25">
      <c r="A6" s="45"/>
      <c r="D6" s="46"/>
    </row>
    <row r="7" spans="1:15" x14ac:dyDescent="0.25">
      <c r="A7" s="45"/>
      <c r="D7" s="45"/>
    </row>
    <row r="8" spans="1:15" x14ac:dyDescent="0.25">
      <c r="A8" s="45"/>
      <c r="D8" s="45"/>
    </row>
    <row r="9" spans="1:15" x14ac:dyDescent="0.25">
      <c r="A9" s="45"/>
      <c r="D9" s="45"/>
    </row>
    <row r="10" spans="1:15" x14ac:dyDescent="0.25">
      <c r="A10" s="45"/>
      <c r="D10" s="45"/>
      <c r="L10" s="47"/>
    </row>
    <row r="11" spans="1:15" x14ac:dyDescent="0.25">
      <c r="A11" s="45"/>
      <c r="D11" s="45"/>
    </row>
    <row r="12" spans="1:15" x14ac:dyDescent="0.25">
      <c r="A12" s="45"/>
      <c r="D12" s="45"/>
    </row>
    <row r="13" spans="1:15" x14ac:dyDescent="0.25">
      <c r="A13" s="45"/>
      <c r="D13" s="45"/>
    </row>
    <row r="14" spans="1:15" x14ac:dyDescent="0.25">
      <c r="A14" s="45"/>
      <c r="D14" s="45"/>
    </row>
    <row r="15" spans="1:15" x14ac:dyDescent="0.25">
      <c r="A15" s="45"/>
      <c r="D15" s="45"/>
    </row>
    <row r="16" spans="1:15" x14ac:dyDescent="0.25">
      <c r="A16" s="45"/>
      <c r="D16" s="45"/>
    </row>
    <row r="17" spans="1:6" x14ac:dyDescent="0.25">
      <c r="A17" s="45"/>
      <c r="D17" s="45"/>
    </row>
    <row r="18" spans="1:6" x14ac:dyDescent="0.25">
      <c r="A18" s="45"/>
      <c r="D18" s="45"/>
    </row>
    <row r="19" spans="1:6" x14ac:dyDescent="0.25">
      <c r="A19" s="45"/>
      <c r="D19" s="45"/>
    </row>
    <row r="20" spans="1:6" x14ac:dyDescent="0.25">
      <c r="A20" s="45"/>
      <c r="D20" s="45"/>
    </row>
    <row r="21" spans="1:6" x14ac:dyDescent="0.25">
      <c r="A21" s="45"/>
      <c r="D21" s="45"/>
    </row>
    <row r="22" spans="1:6" x14ac:dyDescent="0.25">
      <c r="A22" s="45"/>
      <c r="D22" s="45"/>
    </row>
    <row r="23" spans="1:6" ht="15.75" thickBot="1" x14ac:dyDescent="0.3">
      <c r="A23" s="45"/>
      <c r="B23" s="48"/>
      <c r="C23" s="49"/>
      <c r="D23" s="50"/>
    </row>
    <row r="24" spans="1:6" ht="16.5" thickTop="1" thickBot="1" x14ac:dyDescent="0.3">
      <c r="A24" s="57"/>
      <c r="B24" s="58"/>
      <c r="C24" s="59"/>
      <c r="D24" s="60"/>
    </row>
    <row r="25" spans="1:6" ht="15.75" thickTop="1" x14ac:dyDescent="0.25">
      <c r="A25" s="45"/>
      <c r="B25"/>
      <c r="C25"/>
      <c r="D25" s="61"/>
      <c r="E25" s="62"/>
    </row>
    <row r="26" spans="1:6" x14ac:dyDescent="0.25">
      <c r="A26" s="45"/>
      <c r="D26" s="45"/>
    </row>
    <row r="27" spans="1:6" x14ac:dyDescent="0.25">
      <c r="A27" s="45"/>
      <c r="D27" s="45"/>
    </row>
    <row r="28" spans="1:6" x14ac:dyDescent="0.25">
      <c r="A28" s="45"/>
      <c r="D28" s="45"/>
    </row>
    <row r="29" spans="1:6" x14ac:dyDescent="0.25">
      <c r="A29" s="45"/>
      <c r="D29" s="45"/>
    </row>
    <row r="30" spans="1:6" x14ac:dyDescent="0.25">
      <c r="A30" s="45"/>
      <c r="D30" s="45"/>
      <c r="F30" s="63"/>
    </row>
    <row r="31" spans="1:6" x14ac:dyDescent="0.25">
      <c r="A31" s="45"/>
      <c r="D31" s="45"/>
    </row>
    <row r="32" spans="1:6" x14ac:dyDescent="0.25">
      <c r="A32" s="45"/>
      <c r="D32" s="45"/>
    </row>
    <row r="33" spans="1:4" x14ac:dyDescent="0.25">
      <c r="A33" s="45"/>
      <c r="D33" s="45"/>
    </row>
    <row r="34" spans="1:4" x14ac:dyDescent="0.25">
      <c r="A34" s="45"/>
      <c r="D34" s="45"/>
    </row>
    <row r="35" spans="1:4" x14ac:dyDescent="0.25">
      <c r="A35" s="45"/>
      <c r="D35" s="45"/>
    </row>
    <row r="36" spans="1:4" x14ac:dyDescent="0.25">
      <c r="A36" s="45"/>
      <c r="D36" s="45"/>
    </row>
    <row r="37" spans="1:4" x14ac:dyDescent="0.25">
      <c r="A37" s="45"/>
      <c r="D37" s="45"/>
    </row>
    <row r="38" spans="1:4" x14ac:dyDescent="0.25">
      <c r="A38" s="45"/>
      <c r="D38" s="45"/>
    </row>
    <row r="39" spans="1:4" x14ac:dyDescent="0.25">
      <c r="A39" s="45"/>
      <c r="D39" s="51"/>
    </row>
    <row r="40" spans="1:4" ht="15.75" thickBot="1" x14ac:dyDescent="0.3">
      <c r="A40" s="45"/>
      <c r="B40" s="49"/>
      <c r="C40" s="49"/>
      <c r="D40" s="52"/>
    </row>
    <row r="41" spans="1:4" ht="15.75" thickTop="1" x14ac:dyDescent="0.25"/>
    <row r="60" spans="2:9" ht="15.75" thickBot="1" x14ac:dyDescent="0.3"/>
    <row r="61" spans="2:9" ht="16.5" thickTop="1" thickBot="1" x14ac:dyDescent="0.3">
      <c r="B61" s="54" t="s">
        <v>95</v>
      </c>
      <c r="C61" s="56">
        <f>C5</f>
        <v>0.20121951219512177</v>
      </c>
      <c r="D61"/>
      <c r="E61"/>
      <c r="F61"/>
      <c r="G61"/>
      <c r="H61"/>
      <c r="I61"/>
    </row>
    <row r="62" spans="2:9" ht="16.5" thickTop="1" thickBot="1" x14ac:dyDescent="0.3">
      <c r="B62" s="55"/>
      <c r="C62" s="64">
        <f>1-C61</f>
        <v>0.7987804878048782</v>
      </c>
      <c r="D62"/>
      <c r="E62"/>
      <c r="F62"/>
      <c r="G62"/>
      <c r="H62"/>
      <c r="I62"/>
    </row>
    <row r="63" spans="2:9" ht="15.75" thickTop="1" x14ac:dyDescent="0.25"/>
  </sheetData>
  <mergeCells count="4">
    <mergeCell ref="C5:D5"/>
    <mergeCell ref="B2:D2"/>
    <mergeCell ref="C3:D3"/>
    <mergeCell ref="C4:D4"/>
  </mergeCells>
  <pageMargins left="0.19685039370078741" right="0.19685039370078741" top="0.39370078740157483" bottom="0.39370078740157483" header="0" footer="0.31496062992125984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09D85-A6EC-4059-8BEE-9439A8BEE7CE}">
  <dimension ref="B1:F83"/>
  <sheetViews>
    <sheetView topLeftCell="A70" zoomScale="170" zoomScaleNormal="170" workbookViewId="0">
      <selection activeCell="F5" sqref="F5"/>
    </sheetView>
  </sheetViews>
  <sheetFormatPr defaultRowHeight="15" x14ac:dyDescent="0.25"/>
  <cols>
    <col min="1" max="1" width="1.7109375" customWidth="1"/>
    <col min="2" max="6" width="15.7109375" customWidth="1"/>
  </cols>
  <sheetData>
    <row r="1" spans="2:6" ht="16.5" thickTop="1" thickBot="1" x14ac:dyDescent="0.3">
      <c r="B1" s="213" t="s">
        <v>47</v>
      </c>
      <c r="C1" s="213"/>
      <c r="D1" s="213"/>
      <c r="E1" s="213"/>
      <c r="F1" s="213"/>
    </row>
    <row r="2" spans="2:6" ht="16.5" thickTop="1" thickBot="1" x14ac:dyDescent="0.3">
      <c r="B2" s="214" t="s">
        <v>13</v>
      </c>
      <c r="C2" s="215"/>
      <c r="D2" s="216" t="e">
        <f>'DADOS PARA PETIÇÃO INICIAL'!#REF!</f>
        <v>#REF!</v>
      </c>
      <c r="E2" s="217"/>
      <c r="F2" s="27"/>
    </row>
    <row r="3" spans="2:6" ht="25.5" thickTop="1" thickBot="1" x14ac:dyDescent="0.3">
      <c r="B3" s="4" t="s">
        <v>51</v>
      </c>
      <c r="C3" s="4" t="s">
        <v>32</v>
      </c>
      <c r="D3" s="4" t="s">
        <v>33</v>
      </c>
      <c r="E3" s="4" t="s">
        <v>34</v>
      </c>
      <c r="F3" s="4" t="s">
        <v>12</v>
      </c>
    </row>
    <row r="4" spans="2:6" ht="17.25" thickTop="1" thickBot="1" x14ac:dyDescent="0.3">
      <c r="B4" s="7">
        <f>'DADOS PARA PETIÇÃO INICIAL'!F6</f>
        <v>45148</v>
      </c>
      <c r="C4" s="8">
        <f>'DADOS PARA PETIÇÃO INICIAL'!I22</f>
        <v>1.9699999999999999E-2</v>
      </c>
      <c r="D4" s="8">
        <f>'DADOS PARA PETIÇÃO INICIAL'!I39</f>
        <v>1.6400000000000001E-2</v>
      </c>
      <c r="E4" s="8">
        <f>'DADOS PARA PETIÇÃO INICIAL'!I24</f>
        <v>2.0851286173794104E-2</v>
      </c>
      <c r="F4" s="9">
        <f>'DADOS PARA PETIÇÃO INICIAL'!I53</f>
        <v>67</v>
      </c>
    </row>
    <row r="5" spans="2:6" ht="24" thickTop="1" thickBot="1" x14ac:dyDescent="0.3">
      <c r="B5" s="5" t="s">
        <v>2</v>
      </c>
      <c r="C5" s="6" t="s">
        <v>35</v>
      </c>
      <c r="D5" s="6" t="s">
        <v>30</v>
      </c>
      <c r="E5" s="6" t="s">
        <v>124</v>
      </c>
      <c r="F5" s="6" t="s">
        <v>28</v>
      </c>
    </row>
    <row r="6" spans="2:6" ht="17.25" thickTop="1" thickBot="1" x14ac:dyDescent="0.3">
      <c r="B6" s="7">
        <f>'DADOS PARA PETIÇÃO INICIAL'!I23</f>
        <v>45208</v>
      </c>
      <c r="C6" s="9">
        <f>'DADOS PARA PETIÇÃO INICIAL'!I20</f>
        <v>72</v>
      </c>
      <c r="D6" s="118">
        <f>'DADOS PARA PETIÇÃO INICIAL'!I21</f>
        <v>1221.3499999999999</v>
      </c>
      <c r="E6" s="10">
        <f>'TODOS 6 CALCULOS'!D35</f>
        <v>1183.2065436317491</v>
      </c>
      <c r="F6" s="9">
        <f>'DADOS PARA PETIÇÃO INICIAL'!I28</f>
        <v>36</v>
      </c>
    </row>
    <row r="7" spans="2:6" ht="28.5" thickTop="1" thickBot="1" x14ac:dyDescent="0.3">
      <c r="B7" s="28" t="s">
        <v>4</v>
      </c>
      <c r="C7" s="29" t="s">
        <v>3</v>
      </c>
      <c r="D7" s="30" t="s">
        <v>14</v>
      </c>
      <c r="E7" s="30" t="s">
        <v>36</v>
      </c>
      <c r="F7" s="29" t="s">
        <v>15</v>
      </c>
    </row>
    <row r="8" spans="2:6" ht="16.5" thickTop="1" thickBot="1" x14ac:dyDescent="0.3">
      <c r="B8" s="31">
        <v>1</v>
      </c>
      <c r="C8" s="116">
        <v>45208</v>
      </c>
      <c r="D8" s="117">
        <v>1221.3499999999999</v>
      </c>
      <c r="E8" s="226" t="s">
        <v>48</v>
      </c>
      <c r="F8" s="227"/>
    </row>
    <row r="9" spans="2:6" ht="16.5" thickTop="1" thickBot="1" x14ac:dyDescent="0.3">
      <c r="B9" s="31">
        <v>2</v>
      </c>
      <c r="C9" s="116">
        <v>45239</v>
      </c>
      <c r="D9" s="117">
        <v>1221.3499999999999</v>
      </c>
      <c r="E9" s="226" t="s">
        <v>48</v>
      </c>
      <c r="F9" s="227"/>
    </row>
    <row r="10" spans="2:6" ht="16.5" thickTop="1" thickBot="1" x14ac:dyDescent="0.3">
      <c r="B10" s="31">
        <v>3</v>
      </c>
      <c r="C10" s="116">
        <v>45269</v>
      </c>
      <c r="D10" s="117">
        <v>1221.3499999999999</v>
      </c>
      <c r="E10" s="226" t="s">
        <v>48</v>
      </c>
      <c r="F10" s="227"/>
    </row>
    <row r="11" spans="2:6" ht="16.5" thickTop="1" thickBot="1" x14ac:dyDescent="0.3">
      <c r="B11" s="31">
        <v>4</v>
      </c>
      <c r="C11" s="116">
        <v>45300</v>
      </c>
      <c r="D11" s="117">
        <v>1221.3499999999999</v>
      </c>
      <c r="E11" s="226" t="s">
        <v>48</v>
      </c>
      <c r="F11" s="227"/>
    </row>
    <row r="12" spans="2:6" ht="16.5" thickTop="1" thickBot="1" x14ac:dyDescent="0.3">
      <c r="B12" s="31">
        <v>5</v>
      </c>
      <c r="C12" s="116">
        <v>45331</v>
      </c>
      <c r="D12" s="117">
        <v>1221.3499999999999</v>
      </c>
      <c r="E12" s="226" t="s">
        <v>48</v>
      </c>
      <c r="F12" s="227"/>
    </row>
    <row r="13" spans="2:6" ht="16.5" thickTop="1" thickBot="1" x14ac:dyDescent="0.3">
      <c r="B13" s="31">
        <v>6</v>
      </c>
      <c r="C13" s="116">
        <v>45360</v>
      </c>
      <c r="D13" s="117">
        <v>1221.3499999999999</v>
      </c>
      <c r="E13" s="226" t="s">
        <v>48</v>
      </c>
      <c r="F13" s="227"/>
    </row>
    <row r="14" spans="2:6" ht="16.5" thickTop="1" thickBot="1" x14ac:dyDescent="0.3">
      <c r="B14" s="31">
        <v>7</v>
      </c>
      <c r="C14" s="116">
        <v>45391</v>
      </c>
      <c r="D14" s="117">
        <v>1221.3499999999999</v>
      </c>
      <c r="E14" s="226" t="s">
        <v>48</v>
      </c>
      <c r="F14" s="227"/>
    </row>
    <row r="15" spans="2:6" ht="16.5" thickTop="1" thickBot="1" x14ac:dyDescent="0.3">
      <c r="B15" s="31">
        <v>8</v>
      </c>
      <c r="C15" s="116">
        <v>45421</v>
      </c>
      <c r="D15" s="117">
        <v>1221.3499999999999</v>
      </c>
      <c r="E15" s="226" t="s">
        <v>48</v>
      </c>
      <c r="F15" s="227"/>
    </row>
    <row r="16" spans="2:6" ht="16.5" thickTop="1" thickBot="1" x14ac:dyDescent="0.3">
      <c r="B16" s="31">
        <v>9</v>
      </c>
      <c r="C16" s="116">
        <v>45452</v>
      </c>
      <c r="D16" s="117">
        <v>1221.3499999999999</v>
      </c>
      <c r="E16" s="226" t="s">
        <v>48</v>
      </c>
      <c r="F16" s="227"/>
    </row>
    <row r="17" spans="2:6" ht="16.5" thickTop="1" thickBot="1" x14ac:dyDescent="0.3">
      <c r="B17" s="31">
        <v>10</v>
      </c>
      <c r="C17" s="116">
        <v>45482</v>
      </c>
      <c r="D17" s="117">
        <v>1221.3499999999999</v>
      </c>
      <c r="E17" s="226" t="s">
        <v>48</v>
      </c>
      <c r="F17" s="227"/>
    </row>
    <row r="18" spans="2:6" ht="16.5" thickTop="1" thickBot="1" x14ac:dyDescent="0.3">
      <c r="B18" s="31">
        <v>11</v>
      </c>
      <c r="C18" s="116">
        <v>45513</v>
      </c>
      <c r="D18" s="117">
        <v>1221.3499999999999</v>
      </c>
      <c r="E18" s="226" t="s">
        <v>48</v>
      </c>
      <c r="F18" s="227"/>
    </row>
    <row r="19" spans="2:6" ht="16.5" thickTop="1" thickBot="1" x14ac:dyDescent="0.3">
      <c r="B19" s="31">
        <v>12</v>
      </c>
      <c r="C19" s="116">
        <v>45544</v>
      </c>
      <c r="D19" s="117">
        <v>1221.3499999999999</v>
      </c>
      <c r="E19" s="226" t="s">
        <v>48</v>
      </c>
      <c r="F19" s="227"/>
    </row>
    <row r="20" spans="2:6" ht="16.5" thickTop="1" thickBot="1" x14ac:dyDescent="0.3">
      <c r="B20" s="31">
        <v>13</v>
      </c>
      <c r="C20" s="116">
        <v>45574</v>
      </c>
      <c r="D20" s="117">
        <v>1221.3499999999999</v>
      </c>
      <c r="E20" s="226" t="s">
        <v>48</v>
      </c>
      <c r="F20" s="227"/>
    </row>
    <row r="21" spans="2:6" ht="16.5" thickTop="1" thickBot="1" x14ac:dyDescent="0.3">
      <c r="B21" s="31">
        <v>14</v>
      </c>
      <c r="C21" s="116">
        <v>45605</v>
      </c>
      <c r="D21" s="117">
        <v>1221.3499999999999</v>
      </c>
      <c r="E21" s="226" t="s">
        <v>48</v>
      </c>
      <c r="F21" s="227"/>
    </row>
    <row r="22" spans="2:6" ht="16.5" thickTop="1" thickBot="1" x14ac:dyDescent="0.3">
      <c r="B22" s="31">
        <v>15</v>
      </c>
      <c r="C22" s="116">
        <v>45635</v>
      </c>
      <c r="D22" s="117">
        <v>1221.3499999999999</v>
      </c>
      <c r="E22" s="226" t="s">
        <v>48</v>
      </c>
      <c r="F22" s="227"/>
    </row>
    <row r="23" spans="2:6" ht="16.5" thickTop="1" thickBot="1" x14ac:dyDescent="0.3">
      <c r="B23" s="31">
        <v>16</v>
      </c>
      <c r="C23" s="116">
        <v>45666</v>
      </c>
      <c r="D23" s="117">
        <v>1221.3499999999999</v>
      </c>
      <c r="E23" s="226" t="s">
        <v>48</v>
      </c>
      <c r="F23" s="227"/>
    </row>
    <row r="24" spans="2:6" ht="16.5" thickTop="1" thickBot="1" x14ac:dyDescent="0.3">
      <c r="B24" s="31">
        <v>17</v>
      </c>
      <c r="C24" s="116">
        <v>45697</v>
      </c>
      <c r="D24" s="117">
        <v>1221.3499999999999</v>
      </c>
      <c r="E24" s="226" t="s">
        <v>48</v>
      </c>
      <c r="F24" s="227"/>
    </row>
    <row r="25" spans="2:6" ht="16.5" thickTop="1" thickBot="1" x14ac:dyDescent="0.3">
      <c r="B25" s="31">
        <v>18</v>
      </c>
      <c r="C25" s="116">
        <v>45725</v>
      </c>
      <c r="D25" s="117">
        <v>1221.3499999999999</v>
      </c>
      <c r="E25" s="226" t="s">
        <v>48</v>
      </c>
      <c r="F25" s="227"/>
    </row>
    <row r="26" spans="2:6" ht="16.5" thickTop="1" thickBot="1" x14ac:dyDescent="0.3">
      <c r="B26" s="31">
        <v>19</v>
      </c>
      <c r="C26" s="116">
        <v>45756</v>
      </c>
      <c r="D26" s="117">
        <v>1221.3499999999999</v>
      </c>
      <c r="E26" s="226" t="s">
        <v>48</v>
      </c>
      <c r="F26" s="227"/>
    </row>
    <row r="27" spans="2:6" ht="16.5" thickTop="1" thickBot="1" x14ac:dyDescent="0.3">
      <c r="B27" s="31">
        <v>20</v>
      </c>
      <c r="C27" s="116">
        <v>45786</v>
      </c>
      <c r="D27" s="117">
        <v>1221.3499999999999</v>
      </c>
      <c r="E27" s="226" t="s">
        <v>48</v>
      </c>
      <c r="F27" s="227"/>
    </row>
    <row r="28" spans="2:6" ht="16.5" thickTop="1" thickBot="1" x14ac:dyDescent="0.3">
      <c r="B28" s="31">
        <v>21</v>
      </c>
      <c r="C28" s="116">
        <v>45817</v>
      </c>
      <c r="D28" s="117">
        <v>1221.3499999999999</v>
      </c>
      <c r="E28" s="226" t="s">
        <v>48</v>
      </c>
      <c r="F28" s="227"/>
    </row>
    <row r="29" spans="2:6" ht="16.5" thickTop="1" thickBot="1" x14ac:dyDescent="0.3">
      <c r="B29" s="31">
        <v>22</v>
      </c>
      <c r="C29" s="116">
        <v>45847</v>
      </c>
      <c r="D29" s="117">
        <v>1221.3499999999999</v>
      </c>
      <c r="E29" s="226" t="s">
        <v>48</v>
      </c>
      <c r="F29" s="227"/>
    </row>
    <row r="30" spans="2:6" ht="16.5" thickTop="1" thickBot="1" x14ac:dyDescent="0.3">
      <c r="B30" s="31">
        <v>23</v>
      </c>
      <c r="C30" s="116">
        <v>45878</v>
      </c>
      <c r="D30" s="117">
        <v>1221.3499999999999</v>
      </c>
      <c r="E30" s="226" t="s">
        <v>48</v>
      </c>
      <c r="F30" s="227"/>
    </row>
    <row r="31" spans="2:6" ht="16.5" thickTop="1" thickBot="1" x14ac:dyDescent="0.3">
      <c r="B31" s="31">
        <v>24</v>
      </c>
      <c r="C31" s="116">
        <v>45909</v>
      </c>
      <c r="D31" s="117">
        <v>1221.3499999999999</v>
      </c>
      <c r="E31" s="226" t="s">
        <v>48</v>
      </c>
      <c r="F31" s="227"/>
    </row>
    <row r="32" spans="2:6" ht="16.5" thickTop="1" thickBot="1" x14ac:dyDescent="0.3">
      <c r="B32" s="31">
        <v>25</v>
      </c>
      <c r="C32" s="116">
        <v>45939</v>
      </c>
      <c r="D32" s="117">
        <v>1221.3499999999999</v>
      </c>
      <c r="E32" s="226" t="s">
        <v>48</v>
      </c>
      <c r="F32" s="227"/>
    </row>
    <row r="33" spans="2:6" ht="16.5" thickTop="1" thickBot="1" x14ac:dyDescent="0.3">
      <c r="B33" s="31">
        <v>26</v>
      </c>
      <c r="C33" s="116">
        <v>45970</v>
      </c>
      <c r="D33" s="117">
        <v>1221.3499999999999</v>
      </c>
      <c r="E33" s="226" t="s">
        <v>48</v>
      </c>
      <c r="F33" s="227"/>
    </row>
    <row r="34" spans="2:6" ht="16.5" thickTop="1" thickBot="1" x14ac:dyDescent="0.3">
      <c r="B34" s="31">
        <v>27</v>
      </c>
      <c r="C34" s="116">
        <v>46000</v>
      </c>
      <c r="D34" s="117">
        <v>1221.3499999999999</v>
      </c>
      <c r="E34" s="226" t="s">
        <v>48</v>
      </c>
      <c r="F34" s="227"/>
    </row>
    <row r="35" spans="2:6" ht="16.5" thickTop="1" thickBot="1" x14ac:dyDescent="0.3">
      <c r="B35" s="31">
        <v>28</v>
      </c>
      <c r="C35" s="116">
        <v>46031</v>
      </c>
      <c r="D35" s="117">
        <v>1221.3499999999999</v>
      </c>
      <c r="E35" s="226" t="s">
        <v>48</v>
      </c>
      <c r="F35" s="227"/>
    </row>
    <row r="36" spans="2:6" ht="16.5" thickTop="1" thickBot="1" x14ac:dyDescent="0.3">
      <c r="B36" s="31">
        <v>29</v>
      </c>
      <c r="C36" s="116">
        <v>46062</v>
      </c>
      <c r="D36" s="117">
        <v>1221.3499999999999</v>
      </c>
      <c r="E36" s="226" t="s">
        <v>48</v>
      </c>
      <c r="F36" s="227"/>
    </row>
    <row r="37" spans="2:6" ht="16.5" thickTop="1" thickBot="1" x14ac:dyDescent="0.3">
      <c r="B37" s="31">
        <v>30</v>
      </c>
      <c r="C37" s="116">
        <v>46090</v>
      </c>
      <c r="D37" s="117">
        <v>1221.3499999999999</v>
      </c>
      <c r="E37" s="226" t="s">
        <v>48</v>
      </c>
      <c r="F37" s="227"/>
    </row>
    <row r="38" spans="2:6" ht="16.5" thickTop="1" thickBot="1" x14ac:dyDescent="0.3">
      <c r="B38" s="31">
        <v>31</v>
      </c>
      <c r="C38" s="116">
        <v>46121</v>
      </c>
      <c r="D38" s="117">
        <v>1221.3499999999999</v>
      </c>
      <c r="E38" s="226" t="s">
        <v>48</v>
      </c>
      <c r="F38" s="227"/>
    </row>
    <row r="39" spans="2:6" ht="16.5" thickTop="1" thickBot="1" x14ac:dyDescent="0.3">
      <c r="B39" s="31">
        <v>32</v>
      </c>
      <c r="C39" s="116">
        <v>46151</v>
      </c>
      <c r="D39" s="117">
        <v>1221.3499999999999</v>
      </c>
      <c r="E39" s="226" t="s">
        <v>48</v>
      </c>
      <c r="F39" s="227"/>
    </row>
    <row r="40" spans="2:6" ht="16.5" thickTop="1" thickBot="1" x14ac:dyDescent="0.3">
      <c r="B40" s="31">
        <v>33</v>
      </c>
      <c r="C40" s="116">
        <v>46182</v>
      </c>
      <c r="D40" s="117">
        <v>1221.3499999999999</v>
      </c>
      <c r="E40" s="226" t="s">
        <v>48</v>
      </c>
      <c r="F40" s="227"/>
    </row>
    <row r="41" spans="2:6" ht="16.5" thickTop="1" thickBot="1" x14ac:dyDescent="0.3">
      <c r="B41" s="31">
        <v>34</v>
      </c>
      <c r="C41" s="116">
        <v>46212</v>
      </c>
      <c r="D41" s="117">
        <v>1221.3499999999999</v>
      </c>
      <c r="E41" s="226" t="s">
        <v>48</v>
      </c>
      <c r="F41" s="227"/>
    </row>
    <row r="42" spans="2:6" ht="16.5" thickTop="1" thickBot="1" x14ac:dyDescent="0.3">
      <c r="B42" s="31">
        <v>35</v>
      </c>
      <c r="C42" s="116">
        <v>46243</v>
      </c>
      <c r="D42" s="117">
        <v>1221.3499999999999</v>
      </c>
      <c r="E42" s="226" t="s">
        <v>48</v>
      </c>
      <c r="F42" s="227"/>
    </row>
    <row r="43" spans="2:6" ht="16.5" thickTop="1" thickBot="1" x14ac:dyDescent="0.3">
      <c r="B43" s="31">
        <v>36</v>
      </c>
      <c r="C43" s="116">
        <v>46274</v>
      </c>
      <c r="D43" s="117">
        <v>1221.3499999999999</v>
      </c>
      <c r="E43" s="226" t="s">
        <v>48</v>
      </c>
      <c r="F43" s="227"/>
    </row>
    <row r="44" spans="2:6" ht="16.5" thickTop="1" thickBot="1" x14ac:dyDescent="0.3">
      <c r="B44" s="31">
        <v>37</v>
      </c>
      <c r="C44" s="116">
        <v>46304</v>
      </c>
      <c r="D44" s="117">
        <v>1221.3499999999999</v>
      </c>
      <c r="E44" s="226" t="s">
        <v>48</v>
      </c>
      <c r="F44" s="227"/>
    </row>
    <row r="45" spans="2:6" ht="16.5" thickTop="1" thickBot="1" x14ac:dyDescent="0.3">
      <c r="B45" s="31">
        <v>38</v>
      </c>
      <c r="C45" s="116">
        <v>46335</v>
      </c>
      <c r="D45" s="117">
        <v>1221.3499999999999</v>
      </c>
      <c r="E45" s="226" t="s">
        <v>48</v>
      </c>
      <c r="F45" s="227"/>
    </row>
    <row r="46" spans="2:6" ht="16.5" thickTop="1" thickBot="1" x14ac:dyDescent="0.3">
      <c r="B46" s="31">
        <v>39</v>
      </c>
      <c r="C46" s="116">
        <v>46365</v>
      </c>
      <c r="D46" s="117">
        <v>1221.3499999999999</v>
      </c>
      <c r="E46" s="226" t="s">
        <v>48</v>
      </c>
      <c r="F46" s="227"/>
    </row>
    <row r="47" spans="2:6" ht="16.5" thickTop="1" thickBot="1" x14ac:dyDescent="0.3">
      <c r="B47" s="31">
        <v>40</v>
      </c>
      <c r="C47" s="116">
        <v>46396</v>
      </c>
      <c r="D47" s="117">
        <v>1221.3499999999999</v>
      </c>
      <c r="E47" s="226" t="s">
        <v>48</v>
      </c>
      <c r="F47" s="227"/>
    </row>
    <row r="48" spans="2:6" ht="16.5" thickTop="1" thickBot="1" x14ac:dyDescent="0.3">
      <c r="B48" s="31">
        <v>41</v>
      </c>
      <c r="C48" s="116">
        <v>46427</v>
      </c>
      <c r="D48" s="117">
        <v>1221.3499999999999</v>
      </c>
      <c r="E48" s="226" t="s">
        <v>48</v>
      </c>
      <c r="F48" s="227"/>
    </row>
    <row r="49" spans="2:6" ht="16.5" thickTop="1" thickBot="1" x14ac:dyDescent="0.3">
      <c r="B49" s="31">
        <v>42</v>
      </c>
      <c r="C49" s="116">
        <v>46455</v>
      </c>
      <c r="D49" s="117">
        <v>1221.3499999999999</v>
      </c>
      <c r="E49" s="226" t="s">
        <v>48</v>
      </c>
      <c r="F49" s="227"/>
    </row>
    <row r="50" spans="2:6" ht="16.5" thickTop="1" thickBot="1" x14ac:dyDescent="0.3">
      <c r="B50" s="31">
        <v>43</v>
      </c>
      <c r="C50" s="116">
        <v>46486</v>
      </c>
      <c r="D50" s="117">
        <v>1221.3499999999999</v>
      </c>
      <c r="E50" s="226" t="s">
        <v>48</v>
      </c>
      <c r="F50" s="227"/>
    </row>
    <row r="51" spans="2:6" ht="16.5" thickTop="1" thickBot="1" x14ac:dyDescent="0.3">
      <c r="B51" s="31">
        <v>44</v>
      </c>
      <c r="C51" s="116">
        <v>46516</v>
      </c>
      <c r="D51" s="117">
        <v>1221.3499999999999</v>
      </c>
      <c r="E51" s="226" t="s">
        <v>48</v>
      </c>
      <c r="F51" s="227"/>
    </row>
    <row r="52" spans="2:6" ht="16.5" thickTop="1" thickBot="1" x14ac:dyDescent="0.3">
      <c r="B52" s="31">
        <v>45</v>
      </c>
      <c r="C52" s="116">
        <v>46547</v>
      </c>
      <c r="D52" s="117">
        <v>1221.3499999999999</v>
      </c>
      <c r="E52" s="226" t="s">
        <v>48</v>
      </c>
      <c r="F52" s="227"/>
    </row>
    <row r="53" spans="2:6" ht="16.5" thickTop="1" thickBot="1" x14ac:dyDescent="0.3">
      <c r="B53" s="31">
        <v>46</v>
      </c>
      <c r="C53" s="116">
        <v>46577</v>
      </c>
      <c r="D53" s="117">
        <v>1221.3499999999999</v>
      </c>
      <c r="E53" s="226" t="s">
        <v>48</v>
      </c>
      <c r="F53" s="227"/>
    </row>
    <row r="54" spans="2:6" ht="16.5" thickTop="1" thickBot="1" x14ac:dyDescent="0.3">
      <c r="B54" s="31">
        <v>47</v>
      </c>
      <c r="C54" s="116">
        <v>46608</v>
      </c>
      <c r="D54" s="117">
        <v>1221.3499999999999</v>
      </c>
      <c r="E54" s="226" t="s">
        <v>48</v>
      </c>
      <c r="F54" s="227"/>
    </row>
    <row r="55" spans="2:6" ht="16.5" thickTop="1" thickBot="1" x14ac:dyDescent="0.3">
      <c r="B55" s="31">
        <v>48</v>
      </c>
      <c r="C55" s="116">
        <v>46639</v>
      </c>
      <c r="D55" s="117">
        <v>1221.3499999999999</v>
      </c>
      <c r="E55" s="226" t="s">
        <v>48</v>
      </c>
      <c r="F55" s="227"/>
    </row>
    <row r="56" spans="2:6" ht="16.5" thickTop="1" thickBot="1" x14ac:dyDescent="0.3">
      <c r="B56" s="31">
        <v>49</v>
      </c>
      <c r="C56" s="116">
        <v>46669</v>
      </c>
      <c r="D56" s="117">
        <v>1221.3499999999999</v>
      </c>
      <c r="E56" s="226" t="s">
        <v>48</v>
      </c>
      <c r="F56" s="227"/>
    </row>
    <row r="57" spans="2:6" ht="16.5" thickTop="1" thickBot="1" x14ac:dyDescent="0.3">
      <c r="B57" s="31">
        <v>50</v>
      </c>
      <c r="C57" s="116">
        <v>46700</v>
      </c>
      <c r="D57" s="117">
        <v>1221.3499999999999</v>
      </c>
      <c r="E57" s="226" t="s">
        <v>48</v>
      </c>
      <c r="F57" s="227"/>
    </row>
    <row r="58" spans="2:6" ht="16.5" thickTop="1" thickBot="1" x14ac:dyDescent="0.3">
      <c r="B58" s="31">
        <v>51</v>
      </c>
      <c r="C58" s="116">
        <v>46730</v>
      </c>
      <c r="D58" s="117">
        <v>1221.3499999999999</v>
      </c>
      <c r="E58" s="226" t="s">
        <v>48</v>
      </c>
      <c r="F58" s="227"/>
    </row>
    <row r="59" spans="2:6" ht="16.5" thickTop="1" thickBot="1" x14ac:dyDescent="0.3">
      <c r="B59" s="31">
        <v>52</v>
      </c>
      <c r="C59" s="116">
        <v>46761</v>
      </c>
      <c r="D59" s="117">
        <v>1221.3499999999999</v>
      </c>
      <c r="E59" s="226" t="s">
        <v>48</v>
      </c>
      <c r="F59" s="227"/>
    </row>
    <row r="60" spans="2:6" ht="16.5" thickTop="1" thickBot="1" x14ac:dyDescent="0.3">
      <c r="B60" s="31">
        <v>53</v>
      </c>
      <c r="C60" s="116">
        <v>46792</v>
      </c>
      <c r="D60" s="117">
        <v>1221.3499999999999</v>
      </c>
      <c r="E60" s="226" t="s">
        <v>48</v>
      </c>
      <c r="F60" s="227"/>
    </row>
    <row r="61" spans="2:6" ht="16.5" thickTop="1" thickBot="1" x14ac:dyDescent="0.3">
      <c r="B61" s="31">
        <v>54</v>
      </c>
      <c r="C61" s="116">
        <v>46821</v>
      </c>
      <c r="D61" s="117">
        <v>1221.3499999999999</v>
      </c>
      <c r="E61" s="226" t="s">
        <v>48</v>
      </c>
      <c r="F61" s="227"/>
    </row>
    <row r="62" spans="2:6" ht="16.5" thickTop="1" thickBot="1" x14ac:dyDescent="0.3">
      <c r="B62" s="31">
        <v>55</v>
      </c>
      <c r="C62" s="116">
        <v>46852</v>
      </c>
      <c r="D62" s="117">
        <v>1221.3499999999999</v>
      </c>
      <c r="E62" s="226" t="s">
        <v>48</v>
      </c>
      <c r="F62" s="227"/>
    </row>
    <row r="63" spans="2:6" ht="16.5" thickTop="1" thickBot="1" x14ac:dyDescent="0.3">
      <c r="B63" s="31">
        <v>56</v>
      </c>
      <c r="C63" s="116">
        <v>46882</v>
      </c>
      <c r="D63" s="117">
        <v>1221.3499999999999</v>
      </c>
      <c r="E63" s="226" t="s">
        <v>48</v>
      </c>
      <c r="F63" s="227"/>
    </row>
    <row r="64" spans="2:6" ht="16.5" thickTop="1" thickBot="1" x14ac:dyDescent="0.3">
      <c r="B64" s="31">
        <v>57</v>
      </c>
      <c r="C64" s="116">
        <v>46913</v>
      </c>
      <c r="D64" s="117">
        <v>1221.3499999999999</v>
      </c>
      <c r="E64" s="226" t="s">
        <v>48</v>
      </c>
      <c r="F64" s="227"/>
    </row>
    <row r="65" spans="2:6" ht="16.5" thickTop="1" thickBot="1" x14ac:dyDescent="0.3">
      <c r="B65" s="31">
        <v>58</v>
      </c>
      <c r="C65" s="116">
        <v>46943</v>
      </c>
      <c r="D65" s="117">
        <v>1221.3499999999999</v>
      </c>
      <c r="E65" s="226" t="s">
        <v>48</v>
      </c>
      <c r="F65" s="227"/>
    </row>
    <row r="66" spans="2:6" ht="16.5" thickTop="1" thickBot="1" x14ac:dyDescent="0.3">
      <c r="B66" s="31">
        <v>59</v>
      </c>
      <c r="C66" s="116">
        <v>46974</v>
      </c>
      <c r="D66" s="117">
        <v>1221.3499999999999</v>
      </c>
      <c r="E66" s="226" t="s">
        <v>48</v>
      </c>
      <c r="F66" s="227"/>
    </row>
    <row r="67" spans="2:6" ht="16.5" thickTop="1" thickBot="1" x14ac:dyDescent="0.3">
      <c r="B67" s="31">
        <v>60</v>
      </c>
      <c r="C67" s="116">
        <v>47005</v>
      </c>
      <c r="D67" s="117">
        <v>1221.3499999999999</v>
      </c>
      <c r="E67" s="226" t="s">
        <v>48</v>
      </c>
      <c r="F67" s="227"/>
    </row>
    <row r="68" spans="2:6" ht="16.5" thickTop="1" thickBot="1" x14ac:dyDescent="0.3">
      <c r="B68" s="31">
        <v>61</v>
      </c>
      <c r="C68" s="116">
        <v>47035</v>
      </c>
      <c r="D68" s="117">
        <v>1221.3499999999999</v>
      </c>
      <c r="E68" s="226" t="s">
        <v>48</v>
      </c>
      <c r="F68" s="227"/>
    </row>
    <row r="69" spans="2:6" ht="16.5" thickTop="1" thickBot="1" x14ac:dyDescent="0.3">
      <c r="B69" s="31">
        <v>62</v>
      </c>
      <c r="C69" s="116">
        <v>47066</v>
      </c>
      <c r="D69" s="117">
        <v>1221.3499999999999</v>
      </c>
      <c r="E69" s="226" t="s">
        <v>48</v>
      </c>
      <c r="F69" s="227"/>
    </row>
    <row r="70" spans="2:6" ht="16.5" thickTop="1" thickBot="1" x14ac:dyDescent="0.3">
      <c r="B70" s="31">
        <v>63</v>
      </c>
      <c r="C70" s="116">
        <v>47096</v>
      </c>
      <c r="D70" s="117">
        <v>1221.3499999999999</v>
      </c>
      <c r="E70" s="226" t="s">
        <v>48</v>
      </c>
      <c r="F70" s="227"/>
    </row>
    <row r="71" spans="2:6" ht="16.5" thickTop="1" thickBot="1" x14ac:dyDescent="0.3">
      <c r="B71" s="31">
        <v>64</v>
      </c>
      <c r="C71" s="116">
        <v>47127</v>
      </c>
      <c r="D71" s="117">
        <v>1221.3499999999999</v>
      </c>
      <c r="E71" s="226" t="s">
        <v>48</v>
      </c>
      <c r="F71" s="227"/>
    </row>
    <row r="72" spans="2:6" ht="16.5" thickTop="1" thickBot="1" x14ac:dyDescent="0.3">
      <c r="B72" s="31">
        <v>65</v>
      </c>
      <c r="C72" s="116">
        <v>47158</v>
      </c>
      <c r="D72" s="117">
        <v>1221.3499999999999</v>
      </c>
      <c r="E72" s="226" t="s">
        <v>48</v>
      </c>
      <c r="F72" s="227"/>
    </row>
    <row r="73" spans="2:6" ht="16.5" thickTop="1" thickBot="1" x14ac:dyDescent="0.3">
      <c r="B73" s="31">
        <v>66</v>
      </c>
      <c r="C73" s="116">
        <v>47186</v>
      </c>
      <c r="D73" s="117">
        <v>1221.3499999999999</v>
      </c>
      <c r="E73" s="226" t="s">
        <v>48</v>
      </c>
      <c r="F73" s="227"/>
    </row>
    <row r="74" spans="2:6" ht="16.5" thickTop="1" thickBot="1" x14ac:dyDescent="0.3">
      <c r="B74" s="31">
        <v>67</v>
      </c>
      <c r="C74" s="116">
        <v>47217</v>
      </c>
      <c r="D74" s="117">
        <v>1221.3499999999999</v>
      </c>
      <c r="E74" s="226" t="s">
        <v>48</v>
      </c>
      <c r="F74" s="227"/>
    </row>
    <row r="75" spans="2:6" ht="16.5" thickTop="1" thickBot="1" x14ac:dyDescent="0.3">
      <c r="B75" s="31"/>
      <c r="C75" s="228" t="s">
        <v>125</v>
      </c>
      <c r="D75" s="229"/>
      <c r="E75" s="229"/>
      <c r="F75" s="229"/>
    </row>
    <row r="76" spans="2:6" ht="16.5" thickTop="1" thickBot="1" x14ac:dyDescent="0.3">
      <c r="B76" s="31">
        <v>68</v>
      </c>
      <c r="C76" s="34">
        <v>47247</v>
      </c>
      <c r="D76" s="35">
        <v>1224.3499999999999</v>
      </c>
      <c r="E76" s="218" t="s">
        <v>49</v>
      </c>
      <c r="F76" s="219"/>
    </row>
    <row r="77" spans="2:6" ht="16.5" thickTop="1" thickBot="1" x14ac:dyDescent="0.3">
      <c r="B77" s="31">
        <v>69</v>
      </c>
      <c r="C77" s="34">
        <v>47278</v>
      </c>
      <c r="D77" s="35">
        <v>1224.3499999999999</v>
      </c>
      <c r="E77" s="218" t="s">
        <v>49</v>
      </c>
      <c r="F77" s="219"/>
    </row>
    <row r="78" spans="2:6" ht="16.5" thickTop="1" thickBot="1" x14ac:dyDescent="0.3">
      <c r="B78" s="31">
        <v>70</v>
      </c>
      <c r="C78" s="34">
        <v>47308</v>
      </c>
      <c r="D78" s="35">
        <v>1224.3499999999999</v>
      </c>
      <c r="E78" s="218" t="s">
        <v>49</v>
      </c>
      <c r="F78" s="219"/>
    </row>
    <row r="79" spans="2:6" ht="16.5" thickTop="1" thickBot="1" x14ac:dyDescent="0.3">
      <c r="B79" s="31">
        <v>71</v>
      </c>
      <c r="C79" s="34">
        <v>47339</v>
      </c>
      <c r="D79" s="35">
        <v>1224.3499999999999</v>
      </c>
      <c r="E79" s="218" t="s">
        <v>49</v>
      </c>
      <c r="F79" s="219"/>
    </row>
    <row r="80" spans="2:6" ht="16.5" thickTop="1" thickBot="1" x14ac:dyDescent="0.3">
      <c r="B80" s="31">
        <v>72</v>
      </c>
      <c r="C80" s="34">
        <v>47370</v>
      </c>
      <c r="D80" s="35">
        <v>1224.3499999999999</v>
      </c>
      <c r="E80" s="218" t="s">
        <v>49</v>
      </c>
      <c r="F80" s="219"/>
    </row>
    <row r="81" spans="2:6" ht="16.5" thickTop="1" thickBot="1" x14ac:dyDescent="0.3">
      <c r="B81" s="222" t="s">
        <v>37</v>
      </c>
      <c r="C81" s="223"/>
      <c r="D81" s="36">
        <f>SUM(D76:D80)</f>
        <v>6121.75</v>
      </c>
      <c r="E81" s="37"/>
      <c r="F81" s="38"/>
    </row>
    <row r="82" spans="2:6" ht="16.5" thickTop="1" thickBot="1" x14ac:dyDescent="0.3">
      <c r="B82" s="220" t="s">
        <v>50</v>
      </c>
      <c r="C82" s="221"/>
      <c r="D82" s="39">
        <f>D81*2</f>
        <v>12243.5</v>
      </c>
      <c r="E82" s="40"/>
      <c r="F82" s="41"/>
    </row>
    <row r="83" spans="2:6" ht="15.75" thickTop="1" x14ac:dyDescent="0.25"/>
  </sheetData>
  <mergeCells count="78">
    <mergeCell ref="B82:C82"/>
    <mergeCell ref="E78:F78"/>
    <mergeCell ref="E70:F70"/>
    <mergeCell ref="E71:F71"/>
    <mergeCell ref="E72:F72"/>
    <mergeCell ref="E73:F73"/>
    <mergeCell ref="E74:F74"/>
    <mergeCell ref="C75:F75"/>
    <mergeCell ref="E79:F79"/>
    <mergeCell ref="E76:F76"/>
    <mergeCell ref="E77:F77"/>
    <mergeCell ref="E80:F80"/>
    <mergeCell ref="B81:C81"/>
    <mergeCell ref="E65:F65"/>
    <mergeCell ref="E66:F66"/>
    <mergeCell ref="E67:F67"/>
    <mergeCell ref="E68:F68"/>
    <mergeCell ref="E69:F69"/>
    <mergeCell ref="E64:F64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52:F52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40:F40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28:F28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16:F16"/>
    <mergeCell ref="B1:F1"/>
    <mergeCell ref="B2:C2"/>
    <mergeCell ref="D2:E2"/>
    <mergeCell ref="E8:F8"/>
    <mergeCell ref="E9:F9"/>
    <mergeCell ref="E10:F10"/>
    <mergeCell ref="E11:F11"/>
    <mergeCell ref="E12:F12"/>
    <mergeCell ref="E13:F13"/>
    <mergeCell ref="E14:F14"/>
    <mergeCell ref="E15:F15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3155-69BD-403A-AA2B-825E17BF297A}">
  <dimension ref="A1:G63"/>
  <sheetViews>
    <sheetView tabSelected="1" zoomScale="60" zoomScaleNormal="60" workbookViewId="0">
      <selection activeCell="S16" sqref="S16"/>
    </sheetView>
  </sheetViews>
  <sheetFormatPr defaultRowHeight="15" x14ac:dyDescent="0.25"/>
  <cols>
    <col min="1" max="1" width="1.85546875" style="1" customWidth="1"/>
    <col min="2" max="2" width="63.7109375" style="1" customWidth="1"/>
    <col min="3" max="3" width="19.5703125" style="1" customWidth="1"/>
    <col min="4" max="4" width="9.140625" style="1"/>
    <col min="5" max="7" width="3.42578125" style="1" customWidth="1"/>
  </cols>
  <sheetData>
    <row r="1" spans="1:7" ht="15.75" thickBot="1" x14ac:dyDescent="0.3"/>
    <row r="2" spans="1:7" ht="22.5" thickTop="1" thickBot="1" x14ac:dyDescent="0.4">
      <c r="B2" s="122" t="s">
        <v>53</v>
      </c>
      <c r="C2" s="122"/>
      <c r="D2" s="122"/>
      <c r="G2"/>
    </row>
    <row r="3" spans="1:7" ht="22.5" thickTop="1" thickBot="1" x14ac:dyDescent="0.4">
      <c r="B3" s="44" t="s">
        <v>127</v>
      </c>
      <c r="C3" s="121">
        <f>'DADOS PARA PETIÇÃO INICIAL'!I49</f>
        <v>1.9699999999999999E-2</v>
      </c>
      <c r="D3" s="121"/>
      <c r="G3"/>
    </row>
    <row r="4" spans="1:7" ht="22.5" thickTop="1" thickBot="1" x14ac:dyDescent="0.4">
      <c r="B4" s="44" t="s">
        <v>26</v>
      </c>
      <c r="C4" s="121">
        <f>'DADOS PARA PETIÇÃO INICIAL'!I24</f>
        <v>2.0851286173794104E-2</v>
      </c>
      <c r="D4" s="121"/>
      <c r="G4"/>
    </row>
    <row r="5" spans="1:7" ht="22.5" thickTop="1" thickBot="1" x14ac:dyDescent="0.4">
      <c r="B5" s="44" t="s">
        <v>166</v>
      </c>
      <c r="C5" s="121">
        <f>((C4-C3)/C3)</f>
        <v>5.8440922527619572E-2</v>
      </c>
      <c r="D5" s="121"/>
      <c r="G5"/>
    </row>
    <row r="6" spans="1:7" ht="15.75" thickTop="1" x14ac:dyDescent="0.25">
      <c r="A6" s="45"/>
      <c r="D6" s="46"/>
    </row>
    <row r="7" spans="1:7" x14ac:dyDescent="0.25">
      <c r="A7" s="45"/>
      <c r="D7" s="45"/>
    </row>
    <row r="8" spans="1:7" x14ac:dyDescent="0.25">
      <c r="A8" s="45"/>
      <c r="D8" s="45"/>
    </row>
    <row r="9" spans="1:7" x14ac:dyDescent="0.25">
      <c r="A9" s="45"/>
      <c r="D9" s="45"/>
    </row>
    <row r="10" spans="1:7" x14ac:dyDescent="0.25">
      <c r="A10" s="45"/>
      <c r="D10" s="45"/>
    </row>
    <row r="11" spans="1:7" x14ac:dyDescent="0.25">
      <c r="A11" s="45"/>
      <c r="D11" s="45"/>
    </row>
    <row r="12" spans="1:7" x14ac:dyDescent="0.25">
      <c r="A12" s="45"/>
      <c r="D12" s="45"/>
    </row>
    <row r="13" spans="1:7" x14ac:dyDescent="0.25">
      <c r="A13" s="45"/>
      <c r="D13" s="45"/>
    </row>
    <row r="14" spans="1:7" x14ac:dyDescent="0.25">
      <c r="A14" s="45"/>
      <c r="D14" s="45"/>
    </row>
    <row r="15" spans="1:7" x14ac:dyDescent="0.25">
      <c r="A15" s="45"/>
      <c r="D15" s="45"/>
    </row>
    <row r="16" spans="1:7" x14ac:dyDescent="0.25">
      <c r="A16" s="45"/>
      <c r="D16" s="45"/>
    </row>
    <row r="17" spans="1:6" x14ac:dyDescent="0.25">
      <c r="A17" s="45"/>
      <c r="D17" s="45"/>
    </row>
    <row r="18" spans="1:6" x14ac:dyDescent="0.25">
      <c r="A18" s="45"/>
      <c r="D18" s="45"/>
    </row>
    <row r="19" spans="1:6" x14ac:dyDescent="0.25">
      <c r="A19" s="45"/>
      <c r="D19" s="45"/>
    </row>
    <row r="20" spans="1:6" x14ac:dyDescent="0.25">
      <c r="A20" s="45"/>
      <c r="D20" s="45"/>
    </row>
    <row r="21" spans="1:6" x14ac:dyDescent="0.25">
      <c r="A21" s="45"/>
      <c r="D21" s="45"/>
    </row>
    <row r="22" spans="1:6" x14ac:dyDescent="0.25">
      <c r="A22" s="45"/>
      <c r="D22" s="45"/>
    </row>
    <row r="23" spans="1:6" ht="15.75" thickBot="1" x14ac:dyDescent="0.3">
      <c r="A23" s="45"/>
      <c r="B23" s="48"/>
      <c r="C23" s="49"/>
      <c r="D23" s="50"/>
    </row>
    <row r="24" spans="1:6" ht="16.5" thickTop="1" thickBot="1" x14ac:dyDescent="0.3">
      <c r="A24" s="57"/>
      <c r="B24" s="58"/>
      <c r="C24" s="59"/>
      <c r="D24" s="60"/>
    </row>
    <row r="25" spans="1:6" ht="15.75" thickTop="1" x14ac:dyDescent="0.25">
      <c r="A25" s="45"/>
      <c r="B25"/>
      <c r="C25"/>
      <c r="D25" s="61"/>
      <c r="E25" s="62"/>
    </row>
    <row r="26" spans="1:6" x14ac:dyDescent="0.25">
      <c r="A26" s="45"/>
      <c r="D26" s="45"/>
    </row>
    <row r="27" spans="1:6" x14ac:dyDescent="0.25">
      <c r="A27" s="45"/>
      <c r="D27" s="45"/>
    </row>
    <row r="28" spans="1:6" x14ac:dyDescent="0.25">
      <c r="A28" s="45"/>
      <c r="D28" s="45"/>
    </row>
    <row r="29" spans="1:6" x14ac:dyDescent="0.25">
      <c r="A29" s="45"/>
      <c r="D29" s="45"/>
    </row>
    <row r="30" spans="1:6" x14ac:dyDescent="0.25">
      <c r="A30" s="45"/>
      <c r="D30" s="45"/>
      <c r="F30" s="63"/>
    </row>
    <row r="31" spans="1:6" x14ac:dyDescent="0.25">
      <c r="A31" s="45"/>
      <c r="D31" s="45"/>
    </row>
    <row r="32" spans="1:6" x14ac:dyDescent="0.25">
      <c r="A32" s="45"/>
      <c r="D32" s="45"/>
    </row>
    <row r="33" spans="1:4" x14ac:dyDescent="0.25">
      <c r="A33" s="45"/>
      <c r="D33" s="45"/>
    </row>
    <row r="34" spans="1:4" x14ac:dyDescent="0.25">
      <c r="A34" s="45"/>
      <c r="D34" s="45"/>
    </row>
    <row r="35" spans="1:4" x14ac:dyDescent="0.25">
      <c r="A35" s="45"/>
      <c r="D35" s="45"/>
    </row>
    <row r="36" spans="1:4" x14ac:dyDescent="0.25">
      <c r="A36" s="45"/>
      <c r="D36" s="45"/>
    </row>
    <row r="37" spans="1:4" x14ac:dyDescent="0.25">
      <c r="A37" s="45"/>
      <c r="D37" s="45"/>
    </row>
    <row r="38" spans="1:4" x14ac:dyDescent="0.25">
      <c r="A38" s="45"/>
      <c r="D38" s="45"/>
    </row>
    <row r="39" spans="1:4" x14ac:dyDescent="0.25">
      <c r="A39" s="45"/>
      <c r="D39" s="51"/>
    </row>
    <row r="40" spans="1:4" ht="15.75" thickBot="1" x14ac:dyDescent="0.3">
      <c r="A40" s="45"/>
      <c r="B40" s="49"/>
      <c r="C40" s="49"/>
      <c r="D40" s="52"/>
    </row>
    <row r="41" spans="1:4" ht="15.75" thickTop="1" x14ac:dyDescent="0.25"/>
    <row r="60" spans="2:7" ht="15.75" thickBot="1" x14ac:dyDescent="0.3"/>
    <row r="61" spans="2:7" ht="16.5" thickTop="1" thickBot="1" x14ac:dyDescent="0.3">
      <c r="B61" s="54" t="s">
        <v>95</v>
      </c>
      <c r="C61" s="56">
        <f>C5</f>
        <v>5.8440922527619572E-2</v>
      </c>
      <c r="D61"/>
      <c r="E61"/>
      <c r="F61"/>
      <c r="G61"/>
    </row>
    <row r="62" spans="2:7" ht="16.5" thickTop="1" thickBot="1" x14ac:dyDescent="0.3">
      <c r="B62" s="55"/>
      <c r="C62" s="64">
        <f>1-C61</f>
        <v>0.94155907747238043</v>
      </c>
      <c r="D62"/>
      <c r="E62"/>
      <c r="F62"/>
      <c r="G62"/>
    </row>
    <row r="63" spans="2:7" ht="15.75" thickTop="1" x14ac:dyDescent="0.25"/>
  </sheetData>
  <mergeCells count="4">
    <mergeCell ref="B2:D2"/>
    <mergeCell ref="C3:D3"/>
    <mergeCell ref="C4:D4"/>
    <mergeCell ref="C5:D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2EC8-2725-42C5-9B52-45F3EF81AB05}">
  <dimension ref="B1:F83"/>
  <sheetViews>
    <sheetView zoomScale="180" zoomScaleNormal="180" workbookViewId="0">
      <selection activeCell="E82" sqref="E82"/>
    </sheetView>
  </sheetViews>
  <sheetFormatPr defaultRowHeight="15" x14ac:dyDescent="0.25"/>
  <cols>
    <col min="1" max="1" width="1.7109375" customWidth="1"/>
    <col min="2" max="6" width="15.7109375" customWidth="1"/>
  </cols>
  <sheetData>
    <row r="1" spans="2:6" ht="16.5" thickTop="1" thickBot="1" x14ac:dyDescent="0.3">
      <c r="B1" s="213" t="s">
        <v>47</v>
      </c>
      <c r="C1" s="213"/>
      <c r="D1" s="213"/>
      <c r="E1" s="213"/>
      <c r="F1" s="213"/>
    </row>
    <row r="2" spans="2:6" ht="16.5" thickTop="1" thickBot="1" x14ac:dyDescent="0.3">
      <c r="B2" s="214" t="s">
        <v>13</v>
      </c>
      <c r="C2" s="215"/>
      <c r="D2" s="216" t="e">
        <f>'DADOS PARA PETIÇÃO INICIAL'!#REF!</f>
        <v>#REF!</v>
      </c>
      <c r="E2" s="217"/>
      <c r="F2" s="27"/>
    </row>
    <row r="3" spans="2:6" ht="25.5" thickTop="1" thickBot="1" x14ac:dyDescent="0.3">
      <c r="B3" s="4" t="s">
        <v>51</v>
      </c>
      <c r="C3" s="4" t="s">
        <v>32</v>
      </c>
      <c r="D3" s="4" t="s">
        <v>33</v>
      </c>
      <c r="E3" s="4" t="s">
        <v>34</v>
      </c>
      <c r="F3" s="4" t="s">
        <v>12</v>
      </c>
    </row>
    <row r="4" spans="2:6" ht="17.25" thickTop="1" thickBot="1" x14ac:dyDescent="0.3">
      <c r="B4" s="7">
        <f>'DADOS PARA PETIÇÃO INICIAL'!I11</f>
        <v>45148</v>
      </c>
      <c r="C4" s="8">
        <f>'DADOS PARA PETIÇÃO INICIAL'!I22</f>
        <v>1.9699999999999999E-2</v>
      </c>
      <c r="D4" s="8">
        <f>'DADOS PARA PETIÇÃO INICIAL'!I39</f>
        <v>1.6400000000000001E-2</v>
      </c>
      <c r="E4" s="8">
        <f>'DADOS PARA PETIÇÃO INICIAL'!I24</f>
        <v>2.0851286173794104E-2</v>
      </c>
      <c r="F4" s="9">
        <f>'DADOS PARA PETIÇÃO INICIAL'!I29</f>
        <v>67</v>
      </c>
    </row>
    <row r="5" spans="2:6" ht="24" thickTop="1" thickBot="1" x14ac:dyDescent="0.3">
      <c r="B5" s="5" t="s">
        <v>2</v>
      </c>
      <c r="C5" s="6" t="s">
        <v>35</v>
      </c>
      <c r="D5" s="6" t="s">
        <v>161</v>
      </c>
      <c r="E5" s="6" t="s">
        <v>126</v>
      </c>
      <c r="F5" s="6" t="s">
        <v>28</v>
      </c>
    </row>
    <row r="6" spans="2:6" ht="17.25" thickTop="1" thickBot="1" x14ac:dyDescent="0.3">
      <c r="B6" s="7">
        <f>'DADOS PARA PETIÇÃO INICIAL'!I19</f>
        <v>45524.57</v>
      </c>
      <c r="C6" s="9">
        <f>'DADOS PARA PETIÇÃO INICIAL'!I20</f>
        <v>72</v>
      </c>
      <c r="D6" s="118">
        <f>'DADOS PARA PETIÇÃO INICIAL'!I21</f>
        <v>1221.3499999999999</v>
      </c>
      <c r="E6" s="120">
        <f>'DADOS PARA PETIÇÃO INICIAL'!I25</f>
        <v>1183.2065436317491</v>
      </c>
      <c r="F6" s="9">
        <f>'DADOS PARA PETIÇÃO INICIAL'!I20</f>
        <v>72</v>
      </c>
    </row>
    <row r="7" spans="2:6" ht="28.5" thickTop="1" thickBot="1" x14ac:dyDescent="0.3">
      <c r="B7" s="28" t="s">
        <v>4</v>
      </c>
      <c r="C7" s="29" t="s">
        <v>3</v>
      </c>
      <c r="D7" s="30" t="s">
        <v>14</v>
      </c>
      <c r="E7" s="30" t="s">
        <v>36</v>
      </c>
      <c r="F7" s="29" t="s">
        <v>15</v>
      </c>
    </row>
    <row r="8" spans="2:6" ht="16.5" thickTop="1" thickBot="1" x14ac:dyDescent="0.3">
      <c r="B8" s="31">
        <v>1</v>
      </c>
      <c r="C8" s="32">
        <v>43412</v>
      </c>
      <c r="D8" s="33">
        <v>1221.3499999999999</v>
      </c>
      <c r="E8" s="211" t="s">
        <v>48</v>
      </c>
      <c r="F8" s="212"/>
    </row>
    <row r="9" spans="2:6" ht="16.5" thickTop="1" thickBot="1" x14ac:dyDescent="0.3">
      <c r="B9" s="31">
        <v>2</v>
      </c>
      <c r="C9" s="32">
        <v>43442</v>
      </c>
      <c r="D9" s="33">
        <v>1221.3499999999999</v>
      </c>
      <c r="E9" s="211" t="s">
        <v>48</v>
      </c>
      <c r="F9" s="212"/>
    </row>
    <row r="10" spans="2:6" ht="16.5" thickTop="1" thickBot="1" x14ac:dyDescent="0.3">
      <c r="B10" s="31">
        <v>3</v>
      </c>
      <c r="C10" s="32">
        <v>43473</v>
      </c>
      <c r="D10" s="33">
        <v>1221.3499999999999</v>
      </c>
      <c r="E10" s="211" t="s">
        <v>48</v>
      </c>
      <c r="F10" s="212"/>
    </row>
    <row r="11" spans="2:6" ht="16.5" thickTop="1" thickBot="1" x14ac:dyDescent="0.3">
      <c r="B11" s="31">
        <v>4</v>
      </c>
      <c r="C11" s="32">
        <v>43504</v>
      </c>
      <c r="D11" s="33">
        <v>1221.3499999999999</v>
      </c>
      <c r="E11" s="211" t="s">
        <v>48</v>
      </c>
      <c r="F11" s="212"/>
    </row>
    <row r="12" spans="2:6" ht="16.5" thickTop="1" thickBot="1" x14ac:dyDescent="0.3">
      <c r="B12" s="31">
        <v>5</v>
      </c>
      <c r="C12" s="32">
        <v>43532</v>
      </c>
      <c r="D12" s="33">
        <v>1221.3499999999999</v>
      </c>
      <c r="E12" s="211" t="s">
        <v>48</v>
      </c>
      <c r="F12" s="212"/>
    </row>
    <row r="13" spans="2:6" ht="16.5" thickTop="1" thickBot="1" x14ac:dyDescent="0.3">
      <c r="B13" s="31">
        <v>6</v>
      </c>
      <c r="C13" s="32">
        <v>43563</v>
      </c>
      <c r="D13" s="33">
        <v>1221.3499999999999</v>
      </c>
      <c r="E13" s="211" t="s">
        <v>48</v>
      </c>
      <c r="F13" s="212"/>
    </row>
    <row r="14" spans="2:6" ht="16.5" thickTop="1" thickBot="1" x14ac:dyDescent="0.3">
      <c r="B14" s="31">
        <v>7</v>
      </c>
      <c r="C14" s="32">
        <v>43593</v>
      </c>
      <c r="D14" s="33">
        <v>1221.3499999999999</v>
      </c>
      <c r="E14" s="211" t="s">
        <v>48</v>
      </c>
      <c r="F14" s="212"/>
    </row>
    <row r="15" spans="2:6" ht="16.5" thickTop="1" thickBot="1" x14ac:dyDescent="0.3">
      <c r="B15" s="31">
        <v>8</v>
      </c>
      <c r="C15" s="32">
        <v>43624</v>
      </c>
      <c r="D15" s="33">
        <v>1221.3499999999999</v>
      </c>
      <c r="E15" s="211" t="s">
        <v>48</v>
      </c>
      <c r="F15" s="212"/>
    </row>
    <row r="16" spans="2:6" ht="16.5" thickTop="1" thickBot="1" x14ac:dyDescent="0.3">
      <c r="B16" s="31">
        <v>9</v>
      </c>
      <c r="C16" s="32">
        <v>43654</v>
      </c>
      <c r="D16" s="33">
        <v>1221.3499999999999</v>
      </c>
      <c r="E16" s="211" t="s">
        <v>48</v>
      </c>
      <c r="F16" s="212"/>
    </row>
    <row r="17" spans="2:6" ht="16.5" thickTop="1" thickBot="1" x14ac:dyDescent="0.3">
      <c r="B17" s="31">
        <v>10</v>
      </c>
      <c r="C17" s="32">
        <v>43685</v>
      </c>
      <c r="D17" s="33">
        <v>1221.3499999999999</v>
      </c>
      <c r="E17" s="211" t="s">
        <v>48</v>
      </c>
      <c r="F17" s="212"/>
    </row>
    <row r="18" spans="2:6" ht="16.5" thickTop="1" thickBot="1" x14ac:dyDescent="0.3">
      <c r="B18" s="31">
        <v>11</v>
      </c>
      <c r="C18" s="32">
        <v>43716</v>
      </c>
      <c r="D18" s="33">
        <v>1221.3499999999999</v>
      </c>
      <c r="E18" s="211" t="s">
        <v>48</v>
      </c>
      <c r="F18" s="212"/>
    </row>
    <row r="19" spans="2:6" ht="16.5" thickTop="1" thickBot="1" x14ac:dyDescent="0.3">
      <c r="B19" s="31">
        <v>12</v>
      </c>
      <c r="C19" s="32">
        <v>43746</v>
      </c>
      <c r="D19" s="33">
        <v>1221.3499999999999</v>
      </c>
      <c r="E19" s="211" t="s">
        <v>48</v>
      </c>
      <c r="F19" s="212"/>
    </row>
    <row r="20" spans="2:6" ht="16.5" thickTop="1" thickBot="1" x14ac:dyDescent="0.3">
      <c r="B20" s="31">
        <v>13</v>
      </c>
      <c r="C20" s="32">
        <v>43777</v>
      </c>
      <c r="D20" s="33">
        <v>1221.3499999999999</v>
      </c>
      <c r="E20" s="211" t="s">
        <v>48</v>
      </c>
      <c r="F20" s="212"/>
    </row>
    <row r="21" spans="2:6" ht="16.5" thickTop="1" thickBot="1" x14ac:dyDescent="0.3">
      <c r="B21" s="31">
        <v>14</v>
      </c>
      <c r="C21" s="32">
        <v>43807</v>
      </c>
      <c r="D21" s="33">
        <v>1221.3499999999999</v>
      </c>
      <c r="E21" s="211" t="s">
        <v>48</v>
      </c>
      <c r="F21" s="212"/>
    </row>
    <row r="22" spans="2:6" ht="16.5" thickTop="1" thickBot="1" x14ac:dyDescent="0.3">
      <c r="B22" s="31">
        <v>15</v>
      </c>
      <c r="C22" s="32">
        <v>43838</v>
      </c>
      <c r="D22" s="33">
        <v>1221.3499999999999</v>
      </c>
      <c r="E22" s="211" t="s">
        <v>48</v>
      </c>
      <c r="F22" s="212"/>
    </row>
    <row r="23" spans="2:6" ht="16.5" thickTop="1" thickBot="1" x14ac:dyDescent="0.3">
      <c r="B23" s="31">
        <v>16</v>
      </c>
      <c r="C23" s="32">
        <v>43869</v>
      </c>
      <c r="D23" s="33">
        <v>1221.3499999999999</v>
      </c>
      <c r="E23" s="211" t="s">
        <v>48</v>
      </c>
      <c r="F23" s="212"/>
    </row>
    <row r="24" spans="2:6" ht="16.5" thickTop="1" thickBot="1" x14ac:dyDescent="0.3">
      <c r="B24" s="31">
        <v>17</v>
      </c>
      <c r="C24" s="32">
        <v>43898</v>
      </c>
      <c r="D24" s="33">
        <v>1221.3499999999999</v>
      </c>
      <c r="E24" s="211" t="s">
        <v>48</v>
      </c>
      <c r="F24" s="212"/>
    </row>
    <row r="25" spans="2:6" ht="16.5" thickTop="1" thickBot="1" x14ac:dyDescent="0.3">
      <c r="B25" s="31">
        <v>18</v>
      </c>
      <c r="C25" s="32">
        <v>43929</v>
      </c>
      <c r="D25" s="33">
        <v>1221.3499999999999</v>
      </c>
      <c r="E25" s="211" t="s">
        <v>48</v>
      </c>
      <c r="F25" s="212"/>
    </row>
    <row r="26" spans="2:6" ht="16.5" thickTop="1" thickBot="1" x14ac:dyDescent="0.3">
      <c r="B26" s="31">
        <v>19</v>
      </c>
      <c r="C26" s="32">
        <v>43959</v>
      </c>
      <c r="D26" s="33">
        <v>1221.3499999999999</v>
      </c>
      <c r="E26" s="211" t="s">
        <v>48</v>
      </c>
      <c r="F26" s="212"/>
    </row>
    <row r="27" spans="2:6" ht="16.5" thickTop="1" thickBot="1" x14ac:dyDescent="0.3">
      <c r="B27" s="31">
        <v>20</v>
      </c>
      <c r="C27" s="32">
        <v>43990</v>
      </c>
      <c r="D27" s="33">
        <v>1221.3499999999999</v>
      </c>
      <c r="E27" s="211" t="s">
        <v>48</v>
      </c>
      <c r="F27" s="212"/>
    </row>
    <row r="28" spans="2:6" ht="16.5" thickTop="1" thickBot="1" x14ac:dyDescent="0.3">
      <c r="B28" s="31">
        <v>21</v>
      </c>
      <c r="C28" s="32">
        <v>44020</v>
      </c>
      <c r="D28" s="33">
        <v>1221.3499999999999</v>
      </c>
      <c r="E28" s="211" t="s">
        <v>48</v>
      </c>
      <c r="F28" s="212"/>
    </row>
    <row r="29" spans="2:6" ht="16.5" thickTop="1" thickBot="1" x14ac:dyDescent="0.3">
      <c r="B29" s="31">
        <v>22</v>
      </c>
      <c r="C29" s="32">
        <v>44051</v>
      </c>
      <c r="D29" s="33">
        <v>1221.3499999999999</v>
      </c>
      <c r="E29" s="211" t="s">
        <v>48</v>
      </c>
      <c r="F29" s="212"/>
    </row>
    <row r="30" spans="2:6" ht="16.5" thickTop="1" thickBot="1" x14ac:dyDescent="0.3">
      <c r="B30" s="31">
        <v>23</v>
      </c>
      <c r="C30" s="32">
        <v>44082</v>
      </c>
      <c r="D30" s="33">
        <v>1221.3499999999999</v>
      </c>
      <c r="E30" s="211" t="s">
        <v>48</v>
      </c>
      <c r="F30" s="212"/>
    </row>
    <row r="31" spans="2:6" ht="16.5" thickTop="1" thickBot="1" x14ac:dyDescent="0.3">
      <c r="B31" s="31">
        <v>24</v>
      </c>
      <c r="C31" s="32">
        <v>44112</v>
      </c>
      <c r="D31" s="33">
        <v>1221.3499999999999</v>
      </c>
      <c r="E31" s="211" t="s">
        <v>48</v>
      </c>
      <c r="F31" s="212"/>
    </row>
    <row r="32" spans="2:6" ht="16.5" thickTop="1" thickBot="1" x14ac:dyDescent="0.3">
      <c r="B32" s="31">
        <v>25</v>
      </c>
      <c r="C32" s="32">
        <v>44143</v>
      </c>
      <c r="D32" s="33">
        <v>1221.3499999999999</v>
      </c>
      <c r="E32" s="211" t="s">
        <v>48</v>
      </c>
      <c r="F32" s="212"/>
    </row>
    <row r="33" spans="2:6" ht="16.5" thickTop="1" thickBot="1" x14ac:dyDescent="0.3">
      <c r="B33" s="31">
        <v>26</v>
      </c>
      <c r="C33" s="32">
        <v>44173</v>
      </c>
      <c r="D33" s="33">
        <v>1221.3499999999999</v>
      </c>
      <c r="E33" s="211" t="s">
        <v>48</v>
      </c>
      <c r="F33" s="212"/>
    </row>
    <row r="34" spans="2:6" ht="16.5" thickTop="1" thickBot="1" x14ac:dyDescent="0.3">
      <c r="B34" s="31">
        <v>27</v>
      </c>
      <c r="C34" s="32">
        <v>44204</v>
      </c>
      <c r="D34" s="33">
        <v>1221.3499999999999</v>
      </c>
      <c r="E34" s="211" t="s">
        <v>48</v>
      </c>
      <c r="F34" s="212"/>
    </row>
    <row r="35" spans="2:6" ht="16.5" thickTop="1" thickBot="1" x14ac:dyDescent="0.3">
      <c r="B35" s="31">
        <v>28</v>
      </c>
      <c r="C35" s="32">
        <v>44235</v>
      </c>
      <c r="D35" s="33">
        <v>1221.3499999999999</v>
      </c>
      <c r="E35" s="211" t="s">
        <v>48</v>
      </c>
      <c r="F35" s="212"/>
    </row>
    <row r="36" spans="2:6" ht="16.5" thickTop="1" thickBot="1" x14ac:dyDescent="0.3">
      <c r="B36" s="31">
        <v>29</v>
      </c>
      <c r="C36" s="32">
        <v>44263</v>
      </c>
      <c r="D36" s="33">
        <v>1221.3499999999999</v>
      </c>
      <c r="E36" s="211" t="s">
        <v>48</v>
      </c>
      <c r="F36" s="212"/>
    </row>
    <row r="37" spans="2:6" ht="16.5" thickTop="1" thickBot="1" x14ac:dyDescent="0.3">
      <c r="B37" s="31">
        <v>30</v>
      </c>
      <c r="C37" s="32">
        <v>44294</v>
      </c>
      <c r="D37" s="33">
        <v>1221.3499999999999</v>
      </c>
      <c r="E37" s="211" t="s">
        <v>48</v>
      </c>
      <c r="F37" s="212"/>
    </row>
    <row r="38" spans="2:6" ht="16.5" thickTop="1" thickBot="1" x14ac:dyDescent="0.3">
      <c r="B38" s="31">
        <v>31</v>
      </c>
      <c r="C38" s="32">
        <v>44324</v>
      </c>
      <c r="D38" s="33">
        <v>1221.3499999999999</v>
      </c>
      <c r="E38" s="211" t="s">
        <v>48</v>
      </c>
      <c r="F38" s="212"/>
    </row>
    <row r="39" spans="2:6" ht="16.5" thickTop="1" thickBot="1" x14ac:dyDescent="0.3">
      <c r="B39" s="31">
        <v>32</v>
      </c>
      <c r="C39" s="32">
        <v>44355</v>
      </c>
      <c r="D39" s="33">
        <v>1221.3499999999999</v>
      </c>
      <c r="E39" s="211" t="s">
        <v>48</v>
      </c>
      <c r="F39" s="212"/>
    </row>
    <row r="40" spans="2:6" ht="16.5" thickTop="1" thickBot="1" x14ac:dyDescent="0.3">
      <c r="B40" s="31">
        <v>33</v>
      </c>
      <c r="C40" s="32">
        <v>44385</v>
      </c>
      <c r="D40" s="33">
        <v>1221.3499999999999</v>
      </c>
      <c r="E40" s="211" t="s">
        <v>48</v>
      </c>
      <c r="F40" s="212"/>
    </row>
    <row r="41" spans="2:6" ht="16.5" thickTop="1" thickBot="1" x14ac:dyDescent="0.3">
      <c r="B41" s="31">
        <v>34</v>
      </c>
      <c r="C41" s="32">
        <v>44416</v>
      </c>
      <c r="D41" s="33">
        <v>1221.3499999999999</v>
      </c>
      <c r="E41" s="211" t="s">
        <v>48</v>
      </c>
      <c r="F41" s="212"/>
    </row>
    <row r="42" spans="2:6" ht="16.5" thickTop="1" thickBot="1" x14ac:dyDescent="0.3">
      <c r="B42" s="31">
        <v>35</v>
      </c>
      <c r="C42" s="32">
        <v>44447</v>
      </c>
      <c r="D42" s="33">
        <v>1221.3499999999999</v>
      </c>
      <c r="E42" s="211" t="s">
        <v>48</v>
      </c>
      <c r="F42" s="212"/>
    </row>
    <row r="43" spans="2:6" ht="16.5" thickTop="1" thickBot="1" x14ac:dyDescent="0.3">
      <c r="B43" s="31">
        <v>36</v>
      </c>
      <c r="C43" s="32">
        <v>44477</v>
      </c>
      <c r="D43" s="33">
        <v>1221.3499999999999</v>
      </c>
      <c r="E43" s="211" t="s">
        <v>48</v>
      </c>
      <c r="F43" s="212"/>
    </row>
    <row r="44" spans="2:6" ht="16.5" thickTop="1" thickBot="1" x14ac:dyDescent="0.3">
      <c r="B44" s="31">
        <v>37</v>
      </c>
      <c r="C44" s="32">
        <v>44508</v>
      </c>
      <c r="D44" s="33">
        <v>1221.3499999999999</v>
      </c>
      <c r="E44" s="211" t="s">
        <v>48</v>
      </c>
      <c r="F44" s="212"/>
    </row>
    <row r="45" spans="2:6" ht="16.5" thickTop="1" thickBot="1" x14ac:dyDescent="0.3">
      <c r="B45" s="31">
        <v>38</v>
      </c>
      <c r="C45" s="32">
        <v>44538</v>
      </c>
      <c r="D45" s="33">
        <v>1221.3499999999999</v>
      </c>
      <c r="E45" s="211" t="s">
        <v>48</v>
      </c>
      <c r="F45" s="212"/>
    </row>
    <row r="46" spans="2:6" ht="16.5" thickTop="1" thickBot="1" x14ac:dyDescent="0.3">
      <c r="B46" s="31">
        <v>39</v>
      </c>
      <c r="C46" s="32">
        <v>44569</v>
      </c>
      <c r="D46" s="33">
        <v>1221.3499999999999</v>
      </c>
      <c r="E46" s="211" t="s">
        <v>48</v>
      </c>
      <c r="F46" s="212"/>
    </row>
    <row r="47" spans="2:6" ht="16.5" thickTop="1" thickBot="1" x14ac:dyDescent="0.3">
      <c r="B47" s="31">
        <v>40</v>
      </c>
      <c r="C47" s="32">
        <v>44600</v>
      </c>
      <c r="D47" s="33">
        <v>1221.3499999999999</v>
      </c>
      <c r="E47" s="211" t="s">
        <v>48</v>
      </c>
      <c r="F47" s="212"/>
    </row>
    <row r="48" spans="2:6" ht="16.5" thickTop="1" thickBot="1" x14ac:dyDescent="0.3">
      <c r="B48" s="31">
        <v>41</v>
      </c>
      <c r="C48" s="32">
        <v>44628</v>
      </c>
      <c r="D48" s="33">
        <v>1221.3499999999999</v>
      </c>
      <c r="E48" s="211" t="s">
        <v>48</v>
      </c>
      <c r="F48" s="212"/>
    </row>
    <row r="49" spans="2:6" ht="16.5" thickTop="1" thickBot="1" x14ac:dyDescent="0.3">
      <c r="B49" s="31">
        <v>42</v>
      </c>
      <c r="C49" s="32">
        <v>44659</v>
      </c>
      <c r="D49" s="33">
        <v>1221.3499999999999</v>
      </c>
      <c r="E49" s="211" t="s">
        <v>48</v>
      </c>
      <c r="F49" s="212"/>
    </row>
    <row r="50" spans="2:6" ht="16.5" thickTop="1" thickBot="1" x14ac:dyDescent="0.3">
      <c r="B50" s="31">
        <v>43</v>
      </c>
      <c r="C50" s="32">
        <v>44689</v>
      </c>
      <c r="D50" s="33">
        <v>1221.3499999999999</v>
      </c>
      <c r="E50" s="211" t="s">
        <v>48</v>
      </c>
      <c r="F50" s="212"/>
    </row>
    <row r="51" spans="2:6" ht="16.5" thickTop="1" thickBot="1" x14ac:dyDescent="0.3">
      <c r="B51" s="31">
        <v>44</v>
      </c>
      <c r="C51" s="32">
        <v>44720</v>
      </c>
      <c r="D51" s="33">
        <v>1221.3499999999999</v>
      </c>
      <c r="E51" s="211" t="s">
        <v>48</v>
      </c>
      <c r="F51" s="212"/>
    </row>
    <row r="52" spans="2:6" ht="16.5" thickTop="1" thickBot="1" x14ac:dyDescent="0.3">
      <c r="B52" s="31">
        <v>45</v>
      </c>
      <c r="C52" s="32">
        <v>44750</v>
      </c>
      <c r="D52" s="33">
        <v>1221.3499999999999</v>
      </c>
      <c r="E52" s="211" t="s">
        <v>48</v>
      </c>
      <c r="F52" s="212"/>
    </row>
    <row r="53" spans="2:6" ht="16.5" thickTop="1" thickBot="1" x14ac:dyDescent="0.3">
      <c r="B53" s="31">
        <v>46</v>
      </c>
      <c r="C53" s="32">
        <v>44781</v>
      </c>
      <c r="D53" s="33">
        <v>1221.3499999999999</v>
      </c>
      <c r="E53" s="211" t="s">
        <v>48</v>
      </c>
      <c r="F53" s="212"/>
    </row>
    <row r="54" spans="2:6" ht="16.5" thickTop="1" thickBot="1" x14ac:dyDescent="0.3">
      <c r="B54" s="31">
        <v>47</v>
      </c>
      <c r="C54" s="32">
        <v>44812</v>
      </c>
      <c r="D54" s="33">
        <v>1221.3499999999999</v>
      </c>
      <c r="E54" s="211" t="s">
        <v>48</v>
      </c>
      <c r="F54" s="212"/>
    </row>
    <row r="55" spans="2:6" ht="16.5" thickTop="1" thickBot="1" x14ac:dyDescent="0.3">
      <c r="B55" s="31">
        <v>48</v>
      </c>
      <c r="C55" s="32">
        <v>44842</v>
      </c>
      <c r="D55" s="33">
        <v>1221.3499999999999</v>
      </c>
      <c r="E55" s="211" t="s">
        <v>48</v>
      </c>
      <c r="F55" s="212"/>
    </row>
    <row r="56" spans="2:6" ht="16.5" thickTop="1" thickBot="1" x14ac:dyDescent="0.3">
      <c r="B56" s="31">
        <v>49</v>
      </c>
      <c r="C56" s="32">
        <v>44873</v>
      </c>
      <c r="D56" s="33">
        <v>1221.3499999999999</v>
      </c>
      <c r="E56" s="211" t="s">
        <v>48</v>
      </c>
      <c r="F56" s="212"/>
    </row>
    <row r="57" spans="2:6" ht="16.5" thickTop="1" thickBot="1" x14ac:dyDescent="0.3">
      <c r="B57" s="31">
        <v>50</v>
      </c>
      <c r="C57" s="32">
        <v>44903</v>
      </c>
      <c r="D57" s="33">
        <v>1221.3499999999999</v>
      </c>
      <c r="E57" s="211" t="s">
        <v>48</v>
      </c>
      <c r="F57" s="212"/>
    </row>
    <row r="58" spans="2:6" ht="16.5" thickTop="1" thickBot="1" x14ac:dyDescent="0.3">
      <c r="B58" s="31">
        <v>51</v>
      </c>
      <c r="C58" s="32">
        <v>44934</v>
      </c>
      <c r="D58" s="33">
        <v>1221.3499999999999</v>
      </c>
      <c r="E58" s="211" t="s">
        <v>48</v>
      </c>
      <c r="F58" s="212"/>
    </row>
    <row r="59" spans="2:6" ht="16.5" thickTop="1" thickBot="1" x14ac:dyDescent="0.3">
      <c r="B59" s="31">
        <v>52</v>
      </c>
      <c r="C59" s="32">
        <v>44965</v>
      </c>
      <c r="D59" s="33">
        <v>1221.3499999999999</v>
      </c>
      <c r="E59" s="211" t="s">
        <v>48</v>
      </c>
      <c r="F59" s="212"/>
    </row>
    <row r="60" spans="2:6" ht="16.5" thickTop="1" thickBot="1" x14ac:dyDescent="0.3">
      <c r="B60" s="31">
        <v>53</v>
      </c>
      <c r="C60" s="32">
        <v>44993</v>
      </c>
      <c r="D60" s="33">
        <v>1221.3499999999999</v>
      </c>
      <c r="E60" s="211" t="s">
        <v>48</v>
      </c>
      <c r="F60" s="212"/>
    </row>
    <row r="61" spans="2:6" ht="16.5" thickTop="1" thickBot="1" x14ac:dyDescent="0.3">
      <c r="B61" s="31">
        <v>54</v>
      </c>
      <c r="C61" s="32">
        <v>45024</v>
      </c>
      <c r="D61" s="33">
        <v>1221.3499999999999</v>
      </c>
      <c r="E61" s="211" t="s">
        <v>48</v>
      </c>
      <c r="F61" s="212"/>
    </row>
    <row r="62" spans="2:6" ht="16.5" thickTop="1" thickBot="1" x14ac:dyDescent="0.3">
      <c r="B62" s="31">
        <v>55</v>
      </c>
      <c r="C62" s="32">
        <v>45054</v>
      </c>
      <c r="D62" s="33">
        <v>1221.3499999999999</v>
      </c>
      <c r="E62" s="211" t="s">
        <v>48</v>
      </c>
      <c r="F62" s="212"/>
    </row>
    <row r="63" spans="2:6" ht="16.5" thickTop="1" thickBot="1" x14ac:dyDescent="0.3">
      <c r="B63" s="31">
        <v>56</v>
      </c>
      <c r="C63" s="32">
        <v>45085</v>
      </c>
      <c r="D63" s="33">
        <v>1221.3499999999999</v>
      </c>
      <c r="E63" s="211" t="s">
        <v>48</v>
      </c>
      <c r="F63" s="212"/>
    </row>
    <row r="64" spans="2:6" ht="16.5" thickTop="1" thickBot="1" x14ac:dyDescent="0.3">
      <c r="B64" s="31">
        <v>57</v>
      </c>
      <c r="C64" s="32">
        <v>45115</v>
      </c>
      <c r="D64" s="33">
        <v>1221.3499999999999</v>
      </c>
      <c r="E64" s="211" t="s">
        <v>48</v>
      </c>
      <c r="F64" s="212"/>
    </row>
    <row r="65" spans="2:6" ht="16.5" thickTop="1" thickBot="1" x14ac:dyDescent="0.3">
      <c r="B65" s="31">
        <v>58</v>
      </c>
      <c r="C65" s="32">
        <v>45146</v>
      </c>
      <c r="D65" s="33">
        <v>1221.3499999999999</v>
      </c>
      <c r="E65" s="211" t="s">
        <v>48</v>
      </c>
      <c r="F65" s="212"/>
    </row>
    <row r="66" spans="2:6" ht="16.5" thickTop="1" thickBot="1" x14ac:dyDescent="0.3">
      <c r="B66" s="31">
        <v>59</v>
      </c>
      <c r="C66" s="32">
        <v>45177</v>
      </c>
      <c r="D66" s="33">
        <v>1221.3499999999999</v>
      </c>
      <c r="E66" s="211" t="s">
        <v>48</v>
      </c>
      <c r="F66" s="212"/>
    </row>
    <row r="67" spans="2:6" ht="16.5" thickTop="1" thickBot="1" x14ac:dyDescent="0.3">
      <c r="B67" s="31">
        <v>60</v>
      </c>
      <c r="C67" s="32">
        <v>45207</v>
      </c>
      <c r="D67" s="33">
        <v>1221.3499999999999</v>
      </c>
      <c r="E67" s="211" t="s">
        <v>48</v>
      </c>
      <c r="F67" s="212"/>
    </row>
    <row r="68" spans="2:6" ht="16.5" thickTop="1" thickBot="1" x14ac:dyDescent="0.3">
      <c r="B68" s="31">
        <v>61</v>
      </c>
      <c r="C68" s="32">
        <v>45238</v>
      </c>
      <c r="D68" s="33">
        <v>1221.3499999999999</v>
      </c>
      <c r="E68" s="211" t="s">
        <v>48</v>
      </c>
      <c r="F68" s="212"/>
    </row>
    <row r="69" spans="2:6" ht="16.5" thickTop="1" thickBot="1" x14ac:dyDescent="0.3">
      <c r="B69" s="31">
        <v>62</v>
      </c>
      <c r="C69" s="32">
        <v>45268</v>
      </c>
      <c r="D69" s="33">
        <v>1221.3499999999999</v>
      </c>
      <c r="E69" s="211" t="s">
        <v>48</v>
      </c>
      <c r="F69" s="212"/>
    </row>
    <row r="70" spans="2:6" ht="16.5" thickTop="1" thickBot="1" x14ac:dyDescent="0.3">
      <c r="B70" s="31">
        <v>63</v>
      </c>
      <c r="C70" s="32">
        <v>45299</v>
      </c>
      <c r="D70" s="33">
        <v>1221.3499999999999</v>
      </c>
      <c r="E70" s="211" t="s">
        <v>48</v>
      </c>
      <c r="F70" s="212"/>
    </row>
    <row r="71" spans="2:6" ht="16.5" thickTop="1" thickBot="1" x14ac:dyDescent="0.3">
      <c r="B71" s="31">
        <v>64</v>
      </c>
      <c r="C71" s="32">
        <v>45330</v>
      </c>
      <c r="D71" s="33">
        <v>1221.3499999999999</v>
      </c>
      <c r="E71" s="211" t="s">
        <v>48</v>
      </c>
      <c r="F71" s="212"/>
    </row>
    <row r="72" spans="2:6" ht="16.5" thickTop="1" thickBot="1" x14ac:dyDescent="0.3">
      <c r="B72" s="31">
        <v>65</v>
      </c>
      <c r="C72" s="32">
        <v>45359</v>
      </c>
      <c r="D72" s="33">
        <v>1221.3499999999999</v>
      </c>
      <c r="E72" s="211" t="s">
        <v>48</v>
      </c>
      <c r="F72" s="212"/>
    </row>
    <row r="73" spans="2:6" ht="16.5" thickTop="1" thickBot="1" x14ac:dyDescent="0.3">
      <c r="B73" s="31">
        <v>66</v>
      </c>
      <c r="C73" s="32">
        <v>45390</v>
      </c>
      <c r="D73" s="33">
        <v>1221.3499999999999</v>
      </c>
      <c r="E73" s="211" t="s">
        <v>48</v>
      </c>
      <c r="F73" s="212"/>
    </row>
    <row r="74" spans="2:6" ht="16.5" thickTop="1" thickBot="1" x14ac:dyDescent="0.3">
      <c r="B74" s="31">
        <v>67</v>
      </c>
      <c r="C74" s="32">
        <v>45420</v>
      </c>
      <c r="D74" s="33">
        <v>1221.3499999999999</v>
      </c>
      <c r="E74" s="211" t="s">
        <v>48</v>
      </c>
      <c r="F74" s="212"/>
    </row>
    <row r="75" spans="2:6" ht="16.5" thickTop="1" thickBot="1" x14ac:dyDescent="0.3">
      <c r="B75" s="31"/>
      <c r="C75" s="224" t="s">
        <v>162</v>
      </c>
      <c r="D75" s="225"/>
      <c r="E75" s="225"/>
      <c r="F75" s="225"/>
    </row>
    <row r="76" spans="2:6" ht="16.5" thickTop="1" thickBot="1" x14ac:dyDescent="0.3">
      <c r="B76" s="31">
        <v>68</v>
      </c>
      <c r="C76" s="34">
        <v>46181</v>
      </c>
      <c r="D76" s="35">
        <v>1221.3499999999999</v>
      </c>
      <c r="E76" s="218" t="s">
        <v>49</v>
      </c>
      <c r="F76" s="219"/>
    </row>
    <row r="77" spans="2:6" ht="16.5" thickTop="1" thickBot="1" x14ac:dyDescent="0.3">
      <c r="B77" s="31">
        <v>69</v>
      </c>
      <c r="C77" s="34">
        <v>46211</v>
      </c>
      <c r="D77" s="35">
        <v>1221.3499999999999</v>
      </c>
      <c r="E77" s="218" t="s">
        <v>49</v>
      </c>
      <c r="F77" s="219"/>
    </row>
    <row r="78" spans="2:6" ht="16.5" thickTop="1" thickBot="1" x14ac:dyDescent="0.3">
      <c r="B78" s="31">
        <v>70</v>
      </c>
      <c r="C78" s="34">
        <v>46242</v>
      </c>
      <c r="D78" s="35">
        <v>1221.3499999999999</v>
      </c>
      <c r="E78" s="218" t="s">
        <v>49</v>
      </c>
      <c r="F78" s="219"/>
    </row>
    <row r="79" spans="2:6" ht="16.5" thickTop="1" thickBot="1" x14ac:dyDescent="0.3">
      <c r="B79" s="31">
        <v>71</v>
      </c>
      <c r="C79" s="34">
        <v>46273</v>
      </c>
      <c r="D79" s="35">
        <v>1221.3499999999999</v>
      </c>
      <c r="E79" s="218" t="s">
        <v>49</v>
      </c>
      <c r="F79" s="219"/>
    </row>
    <row r="80" spans="2:6" ht="16.5" thickTop="1" thickBot="1" x14ac:dyDescent="0.3">
      <c r="B80" s="31">
        <v>72</v>
      </c>
      <c r="C80" s="34">
        <v>46303</v>
      </c>
      <c r="D80" s="35">
        <v>1221.3499999999999</v>
      </c>
      <c r="E80" s="218" t="s">
        <v>49</v>
      </c>
      <c r="F80" s="219"/>
    </row>
    <row r="81" spans="2:6" ht="16.5" thickTop="1" thickBot="1" x14ac:dyDescent="0.3">
      <c r="B81" s="222" t="s">
        <v>37</v>
      </c>
      <c r="C81" s="223"/>
      <c r="D81" s="36">
        <f>SUM(D76:D80)</f>
        <v>6106.75</v>
      </c>
      <c r="E81" s="37"/>
      <c r="F81" s="38"/>
    </row>
    <row r="82" spans="2:6" ht="16.5" thickTop="1" thickBot="1" x14ac:dyDescent="0.3">
      <c r="B82" s="220" t="s">
        <v>50</v>
      </c>
      <c r="C82" s="221"/>
      <c r="D82" s="39">
        <f>D81*2</f>
        <v>12213.5</v>
      </c>
      <c r="E82" s="40"/>
      <c r="F82" s="41"/>
    </row>
    <row r="83" spans="2:6" ht="15.75" thickTop="1" x14ac:dyDescent="0.25"/>
  </sheetData>
  <mergeCells count="78">
    <mergeCell ref="E76:F76"/>
    <mergeCell ref="E77:F77"/>
    <mergeCell ref="E80:F80"/>
    <mergeCell ref="B81:C81"/>
    <mergeCell ref="B82:C82"/>
    <mergeCell ref="E78:F78"/>
    <mergeCell ref="E79:F79"/>
    <mergeCell ref="C75:F75"/>
    <mergeCell ref="E70:F70"/>
    <mergeCell ref="E71:F71"/>
    <mergeCell ref="E72:F72"/>
    <mergeCell ref="E73:F73"/>
    <mergeCell ref="E74:F74"/>
    <mergeCell ref="E65:F65"/>
    <mergeCell ref="E66:F66"/>
    <mergeCell ref="E67:F67"/>
    <mergeCell ref="E68:F68"/>
    <mergeCell ref="E69:F69"/>
    <mergeCell ref="E64:F64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52:F52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40:F40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28:F28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16:F16"/>
    <mergeCell ref="B1:F1"/>
    <mergeCell ref="B2:C2"/>
    <mergeCell ref="D2:E2"/>
    <mergeCell ref="E8:F8"/>
    <mergeCell ref="E9:F9"/>
    <mergeCell ref="E10:F10"/>
    <mergeCell ref="E11:F11"/>
    <mergeCell ref="E12:F12"/>
    <mergeCell ref="E13:F13"/>
    <mergeCell ref="E14:F14"/>
    <mergeCell ref="E15:F15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2A33-BEE8-4D45-BCD9-D53C9F1C9954}">
  <dimension ref="A1:G63"/>
  <sheetViews>
    <sheetView zoomScale="60" zoomScaleNormal="60" workbookViewId="0">
      <selection activeCell="K7" sqref="K7"/>
    </sheetView>
  </sheetViews>
  <sheetFormatPr defaultRowHeight="15" x14ac:dyDescent="0.25"/>
  <cols>
    <col min="1" max="1" width="1.85546875" style="1" customWidth="1"/>
    <col min="2" max="2" width="63.7109375" style="1" customWidth="1"/>
    <col min="3" max="3" width="19.5703125" style="1" customWidth="1"/>
    <col min="4" max="4" width="9.140625" style="1"/>
    <col min="5" max="7" width="3.42578125" style="1" customWidth="1"/>
  </cols>
  <sheetData>
    <row r="1" spans="1:7" ht="15.75" thickBot="1" x14ac:dyDescent="0.3"/>
    <row r="2" spans="1:7" ht="22.5" thickTop="1" thickBot="1" x14ac:dyDescent="0.4">
      <c r="B2" s="122" t="s">
        <v>53</v>
      </c>
      <c r="C2" s="122"/>
      <c r="D2" s="122"/>
      <c r="G2"/>
    </row>
    <row r="3" spans="1:7" ht="22.5" thickTop="1" thickBot="1" x14ac:dyDescent="0.4">
      <c r="B3" s="44" t="s">
        <v>128</v>
      </c>
      <c r="C3" s="121">
        <f>'DADOS PARA PETIÇÃO INICIAL'!I22</f>
        <v>1.9699999999999999E-2</v>
      </c>
      <c r="D3" s="121"/>
      <c r="G3"/>
    </row>
    <row r="4" spans="1:7" ht="22.5" thickTop="1" thickBot="1" x14ac:dyDescent="0.4">
      <c r="B4" s="44" t="s">
        <v>26</v>
      </c>
      <c r="C4" s="121">
        <f>'DADOS PARA PETIÇÃO INICIAL'!I24</f>
        <v>2.0851286173794104E-2</v>
      </c>
      <c r="D4" s="121"/>
      <c r="G4"/>
    </row>
    <row r="5" spans="1:7" ht="22.5" thickTop="1" thickBot="1" x14ac:dyDescent="0.4">
      <c r="B5" s="44" t="s">
        <v>165</v>
      </c>
      <c r="C5" s="121">
        <f>((C4-C3)/C3)</f>
        <v>5.8440922527619572E-2</v>
      </c>
      <c r="D5" s="121"/>
      <c r="G5"/>
    </row>
    <row r="6" spans="1:7" ht="15.75" thickTop="1" x14ac:dyDescent="0.25">
      <c r="A6" s="45"/>
      <c r="D6" s="46"/>
    </row>
    <row r="7" spans="1:7" x14ac:dyDescent="0.25">
      <c r="A7" s="45"/>
      <c r="D7" s="45"/>
    </row>
    <row r="8" spans="1:7" x14ac:dyDescent="0.25">
      <c r="A8" s="45"/>
      <c r="D8" s="45"/>
    </row>
    <row r="9" spans="1:7" x14ac:dyDescent="0.25">
      <c r="A9" s="45"/>
      <c r="D9" s="45"/>
    </row>
    <row r="10" spans="1:7" x14ac:dyDescent="0.25">
      <c r="A10" s="45"/>
      <c r="D10" s="45"/>
    </row>
    <row r="11" spans="1:7" x14ac:dyDescent="0.25">
      <c r="A11" s="45"/>
      <c r="D11" s="45"/>
    </row>
    <row r="12" spans="1:7" x14ac:dyDescent="0.25">
      <c r="A12" s="45"/>
      <c r="D12" s="45"/>
    </row>
    <row r="13" spans="1:7" x14ac:dyDescent="0.25">
      <c r="A13" s="45"/>
      <c r="D13" s="45"/>
    </row>
    <row r="14" spans="1:7" x14ac:dyDescent="0.25">
      <c r="A14" s="45"/>
      <c r="D14" s="45"/>
    </row>
    <row r="15" spans="1:7" x14ac:dyDescent="0.25">
      <c r="A15" s="45"/>
      <c r="D15" s="45"/>
    </row>
    <row r="16" spans="1:7" x14ac:dyDescent="0.25">
      <c r="A16" s="45"/>
      <c r="D16" s="45"/>
    </row>
    <row r="17" spans="1:6" x14ac:dyDescent="0.25">
      <c r="A17" s="45"/>
      <c r="D17" s="45"/>
    </row>
    <row r="18" spans="1:6" x14ac:dyDescent="0.25">
      <c r="A18" s="45"/>
      <c r="D18" s="45"/>
    </row>
    <row r="19" spans="1:6" x14ac:dyDescent="0.25">
      <c r="A19" s="45"/>
      <c r="D19" s="45"/>
    </row>
    <row r="20" spans="1:6" x14ac:dyDescent="0.25">
      <c r="A20" s="45"/>
      <c r="D20" s="45"/>
    </row>
    <row r="21" spans="1:6" x14ac:dyDescent="0.25">
      <c r="A21" s="45"/>
      <c r="D21" s="45"/>
    </row>
    <row r="22" spans="1:6" x14ac:dyDescent="0.25">
      <c r="A22" s="45"/>
      <c r="D22" s="45"/>
    </row>
    <row r="23" spans="1:6" ht="15.75" thickBot="1" x14ac:dyDescent="0.3">
      <c r="A23" s="45"/>
      <c r="B23" s="48"/>
      <c r="C23" s="49"/>
      <c r="D23" s="50"/>
    </row>
    <row r="24" spans="1:6" ht="16.5" thickTop="1" thickBot="1" x14ac:dyDescent="0.3">
      <c r="A24" s="57"/>
      <c r="B24" s="58"/>
      <c r="C24" s="59"/>
      <c r="D24" s="60"/>
    </row>
    <row r="25" spans="1:6" ht="15.75" thickTop="1" x14ac:dyDescent="0.25">
      <c r="A25" s="45"/>
      <c r="B25"/>
      <c r="C25"/>
      <c r="D25" s="61"/>
      <c r="E25" s="62"/>
    </row>
    <row r="26" spans="1:6" x14ac:dyDescent="0.25">
      <c r="A26" s="45"/>
      <c r="D26" s="45"/>
    </row>
    <row r="27" spans="1:6" x14ac:dyDescent="0.25">
      <c r="A27" s="45"/>
      <c r="D27" s="45"/>
    </row>
    <row r="28" spans="1:6" x14ac:dyDescent="0.25">
      <c r="A28" s="45"/>
      <c r="D28" s="45"/>
    </row>
    <row r="29" spans="1:6" x14ac:dyDescent="0.25">
      <c r="A29" s="45"/>
      <c r="D29" s="45"/>
    </row>
    <row r="30" spans="1:6" x14ac:dyDescent="0.25">
      <c r="A30" s="45"/>
      <c r="D30" s="45"/>
      <c r="F30" s="63"/>
    </row>
    <row r="31" spans="1:6" x14ac:dyDescent="0.25">
      <c r="A31" s="45"/>
      <c r="D31" s="45"/>
    </row>
    <row r="32" spans="1:6" x14ac:dyDescent="0.25">
      <c r="A32" s="45"/>
      <c r="D32" s="45"/>
    </row>
    <row r="33" spans="1:4" x14ac:dyDescent="0.25">
      <c r="A33" s="45"/>
      <c r="D33" s="45"/>
    </row>
    <row r="34" spans="1:4" x14ac:dyDescent="0.25">
      <c r="A34" s="45"/>
      <c r="D34" s="45"/>
    </row>
    <row r="35" spans="1:4" x14ac:dyDescent="0.25">
      <c r="A35" s="45"/>
      <c r="D35" s="45"/>
    </row>
    <row r="36" spans="1:4" x14ac:dyDescent="0.25">
      <c r="A36" s="45"/>
      <c r="D36" s="45"/>
    </row>
    <row r="37" spans="1:4" x14ac:dyDescent="0.25">
      <c r="A37" s="45"/>
      <c r="D37" s="45"/>
    </row>
    <row r="38" spans="1:4" x14ac:dyDescent="0.25">
      <c r="A38" s="45"/>
      <c r="D38" s="45"/>
    </row>
    <row r="39" spans="1:4" x14ac:dyDescent="0.25">
      <c r="A39" s="45"/>
      <c r="D39" s="51"/>
    </row>
    <row r="40" spans="1:4" ht="15.75" thickBot="1" x14ac:dyDescent="0.3">
      <c r="A40" s="45"/>
      <c r="B40" s="49"/>
      <c r="C40" s="49"/>
      <c r="D40" s="52"/>
    </row>
    <row r="41" spans="1:4" ht="15.75" thickTop="1" x14ac:dyDescent="0.25"/>
    <row r="60" spans="2:7" ht="15.75" thickBot="1" x14ac:dyDescent="0.3"/>
    <row r="61" spans="2:7" ht="16.5" thickTop="1" thickBot="1" x14ac:dyDescent="0.3">
      <c r="B61" s="54" t="s">
        <v>95</v>
      </c>
      <c r="C61" s="56">
        <f>C5</f>
        <v>5.8440922527619572E-2</v>
      </c>
      <c r="D61"/>
      <c r="E61"/>
      <c r="F61"/>
      <c r="G61"/>
    </row>
    <row r="62" spans="2:7" ht="16.5" thickTop="1" thickBot="1" x14ac:dyDescent="0.3">
      <c r="B62" s="55"/>
      <c r="C62" s="64">
        <f>1-C61</f>
        <v>0.94155907747238043</v>
      </c>
      <c r="D62"/>
      <c r="E62"/>
      <c r="F62"/>
      <c r="G62"/>
    </row>
    <row r="63" spans="2:7" ht="15.75" thickTop="1" x14ac:dyDescent="0.25"/>
  </sheetData>
  <mergeCells count="4">
    <mergeCell ref="B2:D2"/>
    <mergeCell ref="C3:D3"/>
    <mergeCell ref="C4:D4"/>
    <mergeCell ref="C5:D5"/>
  </mergeCells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DADOS PARA PETIÇÃO INICIAL</vt:lpstr>
      <vt:lpstr>CALCULO DE DATAS</vt:lpstr>
      <vt:lpstr>TODOS 6 CALCULOS</vt:lpstr>
      <vt:lpstr>Planilha1</vt:lpstr>
      <vt:lpstr>Planilha2</vt:lpstr>
      <vt:lpstr>INDICES BACARIOS APURAR TX MEDI</vt:lpstr>
      <vt:lpstr>1.1.1 QUITAÇÃO PELA TAXA MEDIA</vt:lpstr>
      <vt:lpstr>1.1.1 PERCENTUAL TAXA MEDIA</vt:lpstr>
      <vt:lpstr>2.2.2 QUITAÇÃO PELA IN  28 INSS</vt:lpstr>
      <vt:lpstr>2.2.2 PERCENTUAL IN 28</vt:lpstr>
      <vt:lpstr>3.3.3 QUITAÇÃO TAXA CONTRATUAL</vt:lpstr>
      <vt:lpstr>3.3.3 PERCENTUAL CONTRATO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Hicon Calc</dc:creator>
  <cp:lastModifiedBy>Hicon Calc</cp:lastModifiedBy>
  <cp:lastPrinted>2026-09-23T22:48:15Z</cp:lastPrinted>
  <dcterms:created xsi:type="dcterms:W3CDTF">2026-02-12T03:01:51Z</dcterms:created>
  <dcterms:modified xsi:type="dcterms:W3CDTF">2026-09-25T16:14:36Z</dcterms:modified>
</cp:coreProperties>
</file>